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ss\Documents\Pierre\Cours\2- Dauphine\2- Modelisation_risques_avances - DiFiQ\2- Atelier\1- R\"/>
    </mc:Choice>
  </mc:AlternateContent>
  <xr:revisionPtr revIDLastSave="0" documentId="13_ncr:1_{806869E2-4331-435C-AF32-E9A3066CC81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opule Gaussienne" sheetId="9" r:id="rId1"/>
  </sheets>
  <functionGroups builtInGroupCount="19"/>
  <definedNames>
    <definedName name="CAC_final">#REF!</definedName>
    <definedName name="compteur">#REF!</definedName>
    <definedName name="cont1">#REF!</definedName>
    <definedName name="cont2">#REF!</definedName>
    <definedName name="nb_mc">#REF!</definedName>
    <definedName name="Simul">#REF!</definedName>
    <definedName name="som">#REF!</definedName>
    <definedName name="temps">#REF!</definedName>
    <definedName name="utilité">#REF!</definedName>
    <definedName name="w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7" i="9" l="1"/>
  <c r="D17" i="9"/>
  <c r="E16" i="9"/>
  <c r="D16" i="9"/>
  <c r="F3" i="9" l="1"/>
  <c r="G3" i="9"/>
  <c r="F4" i="9"/>
  <c r="G4" i="9"/>
  <c r="F5" i="9"/>
  <c r="G5" i="9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F13" i="9"/>
  <c r="G13" i="9"/>
  <c r="F14" i="9"/>
  <c r="G14" i="9"/>
  <c r="F15" i="9"/>
  <c r="G15" i="9"/>
  <c r="F16" i="9"/>
  <c r="G16" i="9"/>
  <c r="F17" i="9"/>
  <c r="G17" i="9"/>
  <c r="F18" i="9"/>
  <c r="G18" i="9"/>
  <c r="F19" i="9"/>
  <c r="G19" i="9"/>
  <c r="F20" i="9"/>
  <c r="G20" i="9"/>
  <c r="F21" i="9"/>
  <c r="G21" i="9"/>
  <c r="F22" i="9"/>
  <c r="G22" i="9"/>
  <c r="F23" i="9"/>
  <c r="G23" i="9"/>
  <c r="F24" i="9"/>
  <c r="G24" i="9"/>
  <c r="F25" i="9"/>
  <c r="G25" i="9"/>
  <c r="F26" i="9"/>
  <c r="G26" i="9"/>
  <c r="F27" i="9"/>
  <c r="G27" i="9"/>
  <c r="F28" i="9"/>
  <c r="G28" i="9"/>
  <c r="F29" i="9"/>
  <c r="G29" i="9"/>
  <c r="F30" i="9"/>
  <c r="G30" i="9"/>
  <c r="F31" i="9"/>
  <c r="G31" i="9"/>
  <c r="F32" i="9"/>
  <c r="G32" i="9"/>
  <c r="F33" i="9"/>
  <c r="G33" i="9"/>
  <c r="F34" i="9"/>
  <c r="G34" i="9"/>
  <c r="F35" i="9"/>
  <c r="G35" i="9"/>
  <c r="F36" i="9"/>
  <c r="G36" i="9"/>
  <c r="F37" i="9"/>
  <c r="G37" i="9"/>
  <c r="F38" i="9"/>
  <c r="G38" i="9"/>
  <c r="F39" i="9"/>
  <c r="G39" i="9"/>
  <c r="F40" i="9"/>
  <c r="G40" i="9"/>
  <c r="F41" i="9"/>
  <c r="G41" i="9"/>
  <c r="F42" i="9"/>
  <c r="G42" i="9"/>
  <c r="F43" i="9"/>
  <c r="G43" i="9"/>
  <c r="F44" i="9"/>
  <c r="G44" i="9"/>
  <c r="F45" i="9"/>
  <c r="G45" i="9"/>
  <c r="F46" i="9"/>
  <c r="G46" i="9"/>
  <c r="F47" i="9"/>
  <c r="G47" i="9"/>
  <c r="F48" i="9"/>
  <c r="G48" i="9"/>
  <c r="F49" i="9"/>
  <c r="G49" i="9"/>
  <c r="F50" i="9"/>
  <c r="G50" i="9"/>
  <c r="F51" i="9"/>
  <c r="G51" i="9"/>
  <c r="F52" i="9"/>
  <c r="G52" i="9"/>
  <c r="F53" i="9"/>
  <c r="G53" i="9"/>
  <c r="F54" i="9"/>
  <c r="G54" i="9"/>
  <c r="F55" i="9"/>
  <c r="G55" i="9"/>
  <c r="F56" i="9"/>
  <c r="G56" i="9"/>
  <c r="F57" i="9"/>
  <c r="G57" i="9"/>
  <c r="F58" i="9"/>
  <c r="G58" i="9"/>
  <c r="F59" i="9"/>
  <c r="G59" i="9"/>
  <c r="F60" i="9"/>
  <c r="G60" i="9"/>
  <c r="F61" i="9"/>
  <c r="G61" i="9"/>
  <c r="F62" i="9"/>
  <c r="G62" i="9"/>
  <c r="F63" i="9"/>
  <c r="G63" i="9"/>
  <c r="F64" i="9"/>
  <c r="G64" i="9"/>
  <c r="F65" i="9"/>
  <c r="G65" i="9"/>
  <c r="F66" i="9"/>
  <c r="G66" i="9"/>
  <c r="F67" i="9"/>
  <c r="G67" i="9"/>
  <c r="F68" i="9"/>
  <c r="G68" i="9"/>
  <c r="F69" i="9"/>
  <c r="G69" i="9"/>
  <c r="F70" i="9"/>
  <c r="G70" i="9"/>
  <c r="F71" i="9"/>
  <c r="G71" i="9"/>
  <c r="F72" i="9"/>
  <c r="G72" i="9"/>
  <c r="F73" i="9"/>
  <c r="G73" i="9"/>
  <c r="F74" i="9"/>
  <c r="G74" i="9"/>
  <c r="F75" i="9"/>
  <c r="G75" i="9"/>
  <c r="F76" i="9"/>
  <c r="G76" i="9"/>
  <c r="F77" i="9"/>
  <c r="G77" i="9"/>
  <c r="F78" i="9"/>
  <c r="G78" i="9"/>
  <c r="F79" i="9"/>
  <c r="G79" i="9"/>
  <c r="F80" i="9"/>
  <c r="G80" i="9"/>
  <c r="F81" i="9"/>
  <c r="G81" i="9"/>
  <c r="F82" i="9"/>
  <c r="G82" i="9"/>
  <c r="F83" i="9"/>
  <c r="G83" i="9"/>
  <c r="F84" i="9"/>
  <c r="G84" i="9"/>
  <c r="F85" i="9"/>
  <c r="G85" i="9"/>
  <c r="F86" i="9"/>
  <c r="G86" i="9"/>
  <c r="F87" i="9"/>
  <c r="G87" i="9"/>
  <c r="F88" i="9"/>
  <c r="G88" i="9"/>
  <c r="F89" i="9"/>
  <c r="G89" i="9"/>
  <c r="F90" i="9"/>
  <c r="G90" i="9"/>
  <c r="F91" i="9"/>
  <c r="G91" i="9"/>
  <c r="F92" i="9"/>
  <c r="G92" i="9"/>
  <c r="F93" i="9"/>
  <c r="G93" i="9"/>
  <c r="F94" i="9"/>
  <c r="G94" i="9"/>
  <c r="F95" i="9"/>
  <c r="G95" i="9"/>
  <c r="F96" i="9"/>
  <c r="G96" i="9"/>
  <c r="F97" i="9"/>
  <c r="G97" i="9"/>
  <c r="F98" i="9"/>
  <c r="G98" i="9"/>
  <c r="F99" i="9"/>
  <c r="G99" i="9"/>
  <c r="F100" i="9"/>
  <c r="G100" i="9"/>
  <c r="F101" i="9"/>
  <c r="G101" i="9"/>
  <c r="F102" i="9"/>
  <c r="G102" i="9"/>
  <c r="F103" i="9"/>
  <c r="G103" i="9"/>
  <c r="F104" i="9"/>
  <c r="G104" i="9"/>
  <c r="F105" i="9"/>
  <c r="G105" i="9"/>
  <c r="F106" i="9"/>
  <c r="G106" i="9"/>
  <c r="F107" i="9"/>
  <c r="G107" i="9"/>
  <c r="F108" i="9"/>
  <c r="G108" i="9"/>
  <c r="F109" i="9"/>
  <c r="G109" i="9"/>
  <c r="F110" i="9"/>
  <c r="G110" i="9"/>
  <c r="F111" i="9"/>
  <c r="G111" i="9"/>
  <c r="F112" i="9"/>
  <c r="G112" i="9"/>
  <c r="F113" i="9"/>
  <c r="G113" i="9"/>
  <c r="F114" i="9"/>
  <c r="G114" i="9"/>
  <c r="F115" i="9"/>
  <c r="G115" i="9"/>
  <c r="F116" i="9"/>
  <c r="G116" i="9"/>
  <c r="F117" i="9"/>
  <c r="G117" i="9"/>
  <c r="F118" i="9"/>
  <c r="G118" i="9"/>
  <c r="F119" i="9"/>
  <c r="G119" i="9"/>
  <c r="F120" i="9"/>
  <c r="G120" i="9"/>
  <c r="F121" i="9"/>
  <c r="G121" i="9"/>
  <c r="F122" i="9"/>
  <c r="G122" i="9"/>
  <c r="F123" i="9"/>
  <c r="G123" i="9"/>
  <c r="F124" i="9"/>
  <c r="G124" i="9"/>
  <c r="F125" i="9"/>
  <c r="G125" i="9"/>
  <c r="F126" i="9"/>
  <c r="G126" i="9"/>
  <c r="F127" i="9"/>
  <c r="G127" i="9"/>
  <c r="F128" i="9"/>
  <c r="G128" i="9"/>
  <c r="F129" i="9"/>
  <c r="G129" i="9"/>
  <c r="F130" i="9"/>
  <c r="G130" i="9"/>
  <c r="F131" i="9"/>
  <c r="G131" i="9"/>
  <c r="F132" i="9"/>
  <c r="G132" i="9"/>
  <c r="F133" i="9"/>
  <c r="G133" i="9"/>
  <c r="F134" i="9"/>
  <c r="G134" i="9"/>
  <c r="F135" i="9"/>
  <c r="G135" i="9"/>
  <c r="F136" i="9"/>
  <c r="G136" i="9"/>
  <c r="F137" i="9"/>
  <c r="G137" i="9"/>
  <c r="F138" i="9"/>
  <c r="G138" i="9"/>
  <c r="F139" i="9"/>
  <c r="G139" i="9"/>
  <c r="F140" i="9"/>
  <c r="G140" i="9"/>
  <c r="F141" i="9"/>
  <c r="G141" i="9"/>
  <c r="F142" i="9"/>
  <c r="G142" i="9"/>
  <c r="F143" i="9"/>
  <c r="G143" i="9"/>
  <c r="F144" i="9"/>
  <c r="G144" i="9"/>
  <c r="F145" i="9"/>
  <c r="G145" i="9"/>
  <c r="F146" i="9"/>
  <c r="G146" i="9"/>
  <c r="F147" i="9"/>
  <c r="G147" i="9"/>
  <c r="F148" i="9"/>
  <c r="G148" i="9"/>
  <c r="F149" i="9"/>
  <c r="G149" i="9"/>
  <c r="F150" i="9"/>
  <c r="G150" i="9"/>
  <c r="F151" i="9"/>
  <c r="G151" i="9"/>
  <c r="F152" i="9"/>
  <c r="G152" i="9"/>
  <c r="F153" i="9"/>
  <c r="G153" i="9"/>
  <c r="F154" i="9"/>
  <c r="G154" i="9"/>
  <c r="F155" i="9"/>
  <c r="G155" i="9"/>
  <c r="F156" i="9"/>
  <c r="G156" i="9"/>
  <c r="F157" i="9"/>
  <c r="G157" i="9"/>
  <c r="F158" i="9"/>
  <c r="G158" i="9"/>
  <c r="F159" i="9"/>
  <c r="G159" i="9"/>
  <c r="F160" i="9"/>
  <c r="G160" i="9"/>
  <c r="F161" i="9"/>
  <c r="G161" i="9"/>
  <c r="F162" i="9"/>
  <c r="G162" i="9"/>
  <c r="F163" i="9"/>
  <c r="G163" i="9"/>
  <c r="F164" i="9"/>
  <c r="G164" i="9"/>
  <c r="F165" i="9"/>
  <c r="G165" i="9"/>
  <c r="F166" i="9"/>
  <c r="G166" i="9"/>
  <c r="F167" i="9"/>
  <c r="G167" i="9"/>
  <c r="F168" i="9"/>
  <c r="G168" i="9"/>
  <c r="F169" i="9"/>
  <c r="G169" i="9"/>
  <c r="F170" i="9"/>
  <c r="G170" i="9"/>
  <c r="F171" i="9"/>
  <c r="G171" i="9"/>
  <c r="F172" i="9"/>
  <c r="G172" i="9"/>
  <c r="F173" i="9"/>
  <c r="G173" i="9"/>
  <c r="F174" i="9"/>
  <c r="G174" i="9"/>
  <c r="F175" i="9"/>
  <c r="G175" i="9"/>
  <c r="F176" i="9"/>
  <c r="G176" i="9"/>
  <c r="F177" i="9"/>
  <c r="G177" i="9"/>
  <c r="F178" i="9"/>
  <c r="G178" i="9"/>
  <c r="F179" i="9"/>
  <c r="G179" i="9"/>
  <c r="F180" i="9"/>
  <c r="G180" i="9"/>
  <c r="F181" i="9"/>
  <c r="G181" i="9"/>
  <c r="F182" i="9"/>
  <c r="G182" i="9"/>
  <c r="F183" i="9"/>
  <c r="G183" i="9"/>
  <c r="F184" i="9"/>
  <c r="G184" i="9"/>
  <c r="F185" i="9"/>
  <c r="G185" i="9"/>
  <c r="F186" i="9"/>
  <c r="G186" i="9"/>
  <c r="F187" i="9"/>
  <c r="G187" i="9"/>
  <c r="F188" i="9"/>
  <c r="G188" i="9"/>
  <c r="F189" i="9"/>
  <c r="G189" i="9"/>
  <c r="F190" i="9"/>
  <c r="G190" i="9"/>
  <c r="F191" i="9"/>
  <c r="G191" i="9"/>
  <c r="F192" i="9"/>
  <c r="G192" i="9"/>
  <c r="F193" i="9"/>
  <c r="G193" i="9"/>
  <c r="F194" i="9"/>
  <c r="G194" i="9"/>
  <c r="F195" i="9"/>
  <c r="G195" i="9"/>
  <c r="F196" i="9"/>
  <c r="G196" i="9"/>
  <c r="F197" i="9"/>
  <c r="G197" i="9"/>
  <c r="F198" i="9"/>
  <c r="G198" i="9"/>
  <c r="F199" i="9"/>
  <c r="G199" i="9"/>
  <c r="F200" i="9"/>
  <c r="G200" i="9"/>
  <c r="F201" i="9"/>
  <c r="G201" i="9"/>
  <c r="F202" i="9"/>
  <c r="G202" i="9"/>
  <c r="F203" i="9"/>
  <c r="G203" i="9"/>
  <c r="F204" i="9"/>
  <c r="G204" i="9"/>
  <c r="F205" i="9"/>
  <c r="G205" i="9"/>
  <c r="F206" i="9"/>
  <c r="G206" i="9"/>
  <c r="F207" i="9"/>
  <c r="G207" i="9"/>
  <c r="F208" i="9"/>
  <c r="G208" i="9"/>
  <c r="F209" i="9"/>
  <c r="G209" i="9"/>
  <c r="F210" i="9"/>
  <c r="G210" i="9"/>
  <c r="F211" i="9"/>
  <c r="G211" i="9"/>
  <c r="F212" i="9"/>
  <c r="G212" i="9"/>
  <c r="F213" i="9"/>
  <c r="G213" i="9"/>
  <c r="F214" i="9"/>
  <c r="G214" i="9"/>
  <c r="F215" i="9"/>
  <c r="G215" i="9"/>
  <c r="F216" i="9"/>
  <c r="G216" i="9"/>
  <c r="F217" i="9"/>
  <c r="G217" i="9"/>
  <c r="F218" i="9"/>
  <c r="G218" i="9"/>
  <c r="F219" i="9"/>
  <c r="G219" i="9"/>
  <c r="F220" i="9"/>
  <c r="G220" i="9"/>
  <c r="F221" i="9"/>
  <c r="G221" i="9"/>
  <c r="F222" i="9"/>
  <c r="G222" i="9"/>
  <c r="F223" i="9"/>
  <c r="G223" i="9"/>
  <c r="F224" i="9"/>
  <c r="G224" i="9"/>
  <c r="F225" i="9"/>
  <c r="G225" i="9"/>
  <c r="F226" i="9"/>
  <c r="G226" i="9"/>
  <c r="F227" i="9"/>
  <c r="G227" i="9"/>
  <c r="F228" i="9"/>
  <c r="G228" i="9"/>
  <c r="F229" i="9"/>
  <c r="G229" i="9"/>
  <c r="F230" i="9"/>
  <c r="G230" i="9"/>
  <c r="F231" i="9"/>
  <c r="G231" i="9"/>
  <c r="F232" i="9"/>
  <c r="G232" i="9"/>
  <c r="F233" i="9"/>
  <c r="G233" i="9"/>
  <c r="F234" i="9"/>
  <c r="G234" i="9"/>
  <c r="F235" i="9"/>
  <c r="G235" i="9"/>
  <c r="F236" i="9"/>
  <c r="G236" i="9"/>
  <c r="F237" i="9"/>
  <c r="G237" i="9"/>
  <c r="F238" i="9"/>
  <c r="G238" i="9"/>
  <c r="F239" i="9"/>
  <c r="G239" i="9"/>
  <c r="F240" i="9"/>
  <c r="G240" i="9"/>
  <c r="F241" i="9"/>
  <c r="G241" i="9"/>
  <c r="F242" i="9"/>
  <c r="G242" i="9"/>
  <c r="F243" i="9"/>
  <c r="G243" i="9"/>
  <c r="F244" i="9"/>
  <c r="G244" i="9"/>
  <c r="F245" i="9"/>
  <c r="G245" i="9"/>
  <c r="F246" i="9"/>
  <c r="G246" i="9"/>
  <c r="F247" i="9"/>
  <c r="G247" i="9"/>
  <c r="F248" i="9"/>
  <c r="G248" i="9"/>
  <c r="F249" i="9"/>
  <c r="G249" i="9"/>
  <c r="F250" i="9"/>
  <c r="G250" i="9"/>
  <c r="F251" i="9"/>
  <c r="G251" i="9"/>
  <c r="F252" i="9"/>
  <c r="G252" i="9"/>
  <c r="F253" i="9"/>
  <c r="G253" i="9"/>
  <c r="F254" i="9"/>
  <c r="G254" i="9"/>
  <c r="F255" i="9"/>
  <c r="G255" i="9"/>
  <c r="F256" i="9"/>
  <c r="G256" i="9"/>
  <c r="F257" i="9"/>
  <c r="G257" i="9"/>
  <c r="F258" i="9"/>
  <c r="G258" i="9"/>
  <c r="F259" i="9"/>
  <c r="G259" i="9"/>
  <c r="F260" i="9"/>
  <c r="G260" i="9"/>
  <c r="F261" i="9"/>
  <c r="G261" i="9"/>
  <c r="F262" i="9"/>
  <c r="G262" i="9"/>
  <c r="F263" i="9"/>
  <c r="G263" i="9"/>
  <c r="D5" i="9" a="1"/>
  <c r="D6" i="9" l="1"/>
  <c r="E6" i="9"/>
  <c r="D5" i="9"/>
  <c r="E5" i="9"/>
  <c r="D11" i="9" a="1"/>
  <c r="E11" i="9" l="1"/>
  <c r="D12" i="9"/>
  <c r="E12" i="9"/>
  <c r="D11" i="9"/>
  <c r="I184" i="9" l="1" a="1"/>
  <c r="I83" i="9" a="1"/>
  <c r="I258" i="9" a="1"/>
  <c r="I179" i="9" a="1"/>
  <c r="I4" i="9" a="1"/>
  <c r="I232" i="9" a="1"/>
  <c r="I140" i="9" a="1"/>
  <c r="I138" i="9" a="1"/>
  <c r="I154" i="9" a="1"/>
  <c r="I135" i="9" a="1"/>
  <c r="I237" i="9" a="1"/>
  <c r="I71" i="9" a="1"/>
  <c r="I113" i="9" a="1"/>
  <c r="I16" i="9" a="1"/>
  <c r="I109" i="9" a="1"/>
  <c r="I122" i="9" a="1"/>
  <c r="I101" i="9" a="1"/>
  <c r="I139" i="9" a="1"/>
  <c r="I88" i="9" a="1"/>
  <c r="I229" i="9" a="1"/>
  <c r="I119" i="9" a="1"/>
  <c r="I80" i="9" a="1"/>
  <c r="I241" i="9" a="1"/>
  <c r="I53" i="9" a="1"/>
  <c r="I182" i="9" a="1"/>
  <c r="I39" i="9" a="1"/>
  <c r="I115" i="9" a="1"/>
  <c r="I263" i="9" a="1"/>
  <c r="I111" i="9" a="1"/>
  <c r="I203" i="9" a="1"/>
  <c r="I118" i="9" a="1"/>
  <c r="I250" i="9" a="1"/>
  <c r="I14" i="9" a="1"/>
  <c r="I92" i="9" a="1"/>
  <c r="I246" i="9" a="1"/>
  <c r="I185" i="9" a="1"/>
  <c r="I253" i="9" a="1"/>
  <c r="I186" i="9" a="1"/>
  <c r="I243" i="9" a="1"/>
  <c r="I148" i="9" a="1"/>
  <c r="I90" i="9" a="1"/>
  <c r="I262" i="9" a="1"/>
  <c r="I19" i="9" a="1"/>
  <c r="I8" i="9" a="1"/>
  <c r="I7" i="9" a="1"/>
  <c r="I82" i="9" a="1"/>
  <c r="I239" i="9" a="1"/>
  <c r="I192" i="9" a="1"/>
  <c r="I231" i="9" a="1"/>
  <c r="I33" i="9" a="1"/>
  <c r="I174" i="9" a="1"/>
  <c r="I22" i="9" a="1"/>
  <c r="I104" i="9" a="1"/>
  <c r="I204" i="9" a="1"/>
  <c r="I114" i="9" a="1"/>
  <c r="I248" i="9" a="1"/>
  <c r="I191" i="9" a="1"/>
  <c r="I93" i="9" a="1"/>
  <c r="I123" i="9" a="1"/>
  <c r="I31" i="9" a="1"/>
  <c r="I249" i="9" a="1"/>
  <c r="I235" i="9" a="1"/>
  <c r="I216" i="9" a="1"/>
  <c r="I121" i="9" a="1"/>
  <c r="I91" i="9" a="1"/>
  <c r="I5" i="9" a="1"/>
  <c r="I160" i="9" a="1"/>
  <c r="I79" i="9" a="1"/>
  <c r="I143" i="9" a="1"/>
  <c r="I161" i="9" a="1"/>
  <c r="I156" i="9" a="1"/>
  <c r="I261" i="9" a="1"/>
  <c r="I30" i="9" a="1"/>
  <c r="I159" i="9" a="1"/>
  <c r="I187" i="9" a="1"/>
  <c r="I126" i="9" a="1"/>
  <c r="I98" i="9" a="1"/>
  <c r="I27" i="9" a="1"/>
  <c r="I162" i="9" a="1"/>
  <c r="I87" i="9" a="1"/>
  <c r="I25" i="9" a="1"/>
  <c r="I164" i="9" a="1"/>
  <c r="I218" i="9" a="1"/>
  <c r="I193" i="9" a="1"/>
  <c r="I245" i="9" a="1"/>
  <c r="I146" i="9" a="1"/>
  <c r="I10" i="9" a="1"/>
  <c r="I129" i="9" a="1"/>
  <c r="I112" i="9" a="1"/>
  <c r="I117" i="9" a="1"/>
  <c r="I34" i="9" a="1"/>
  <c r="I195" i="9" a="1"/>
  <c r="I96" i="9" a="1"/>
  <c r="I247" i="9" a="1"/>
  <c r="I18" i="9" a="1"/>
  <c r="I224" i="9" a="1"/>
  <c r="I17" i="9" a="1"/>
  <c r="I190" i="9" a="1"/>
  <c r="I251" i="9" a="1"/>
  <c r="I3" i="9" a="1"/>
  <c r="I61" i="9" a="1"/>
  <c r="I127" i="9" a="1"/>
  <c r="I199" i="9" a="1"/>
  <c r="I13" i="9" a="1"/>
  <c r="I57" i="9" a="1"/>
  <c r="I165" i="9" a="1"/>
  <c r="I227" i="9" a="1"/>
  <c r="I38" i="9" a="1"/>
  <c r="I254" i="9" a="1"/>
  <c r="I99" i="9" a="1"/>
  <c r="I43" i="9" a="1"/>
  <c r="I167" i="9" a="1"/>
  <c r="I48" i="9" a="1"/>
  <c r="I26" i="9" a="1"/>
  <c r="I42" i="9" a="1"/>
  <c r="I198" i="9" a="1"/>
  <c r="I201" i="9" a="1"/>
  <c r="I226" i="9" a="1"/>
  <c r="I24" i="9" a="1"/>
  <c r="I172" i="9" a="1"/>
  <c r="I206" i="9" a="1"/>
  <c r="I32" i="9" a="1"/>
  <c r="I137" i="9" a="1"/>
  <c r="I142" i="9" a="1"/>
  <c r="I35" i="9" a="1"/>
  <c r="I41" i="9" a="1"/>
  <c r="I147" i="9" a="1"/>
  <c r="I47" i="9" a="1"/>
  <c r="I44" i="9" a="1"/>
  <c r="I120" i="9" a="1"/>
  <c r="I49" i="9" a="1"/>
  <c r="I169" i="9" a="1"/>
  <c r="I9" i="9" a="1"/>
  <c r="I200" i="9" a="1"/>
  <c r="I6" i="9" a="1"/>
  <c r="I180" i="9" a="1"/>
  <c r="I259" i="9" a="1"/>
  <c r="I145" i="9" a="1"/>
  <c r="I155" i="9" a="1"/>
  <c r="I173" i="9" a="1"/>
  <c r="I50" i="9" a="1"/>
  <c r="I208" i="9" a="1"/>
  <c r="I73" i="9" a="1"/>
  <c r="I40" i="9" a="1"/>
  <c r="I64" i="9" a="1"/>
  <c r="I125" i="9" a="1"/>
  <c r="I21" i="9" a="1"/>
  <c r="I102" i="9" a="1"/>
  <c r="I89" i="9" a="1"/>
  <c r="I228" i="9" a="1"/>
  <c r="I236" i="9" a="1"/>
  <c r="I108" i="9" a="1"/>
  <c r="I238" i="9" a="1"/>
  <c r="I214" i="9" a="1"/>
  <c r="I52" i="9" a="1"/>
  <c r="I222" i="9" a="1"/>
  <c r="I157" i="9" a="1"/>
  <c r="I12" i="9" a="1"/>
  <c r="I207" i="9" a="1"/>
  <c r="I150" i="9" a="1"/>
  <c r="I151" i="9" a="1"/>
  <c r="I128" i="9" a="1"/>
  <c r="I136" i="9" a="1"/>
  <c r="I78" i="9" a="1"/>
  <c r="I163" i="9" a="1"/>
  <c r="I86" i="9" a="1"/>
  <c r="I55" i="9" a="1"/>
  <c r="I256" i="9" a="1"/>
  <c r="I107" i="9" a="1"/>
  <c r="I62" i="9" a="1"/>
  <c r="I133" i="9" a="1"/>
  <c r="I11" i="9" a="1"/>
  <c r="I116" i="9" a="1"/>
  <c r="I209" i="9" a="1"/>
  <c r="I66" i="9" a="1"/>
  <c r="I58" i="9" a="1"/>
  <c r="I194" i="9" a="1"/>
  <c r="I20" i="9" a="1"/>
  <c r="I130" i="9" a="1"/>
  <c r="I233" i="9" a="1"/>
  <c r="I100" i="9" a="1"/>
  <c r="I175" i="9" a="1"/>
  <c r="I202" i="9" a="1"/>
  <c r="I46" i="9" a="1"/>
  <c r="I205" i="9" a="1"/>
  <c r="I170" i="9" a="1"/>
  <c r="I54" i="9" a="1"/>
  <c r="I188" i="9" a="1"/>
  <c r="I152" i="9" a="1"/>
  <c r="I51" i="9" a="1"/>
  <c r="I153" i="9" a="1"/>
  <c r="I141" i="9" a="1"/>
  <c r="I210" i="9" a="1"/>
  <c r="I65" i="9" a="1"/>
  <c r="I77" i="9" a="1"/>
  <c r="I149" i="9" a="1"/>
  <c r="I242" i="9" a="1"/>
  <c r="I15" i="9" a="1"/>
  <c r="I124" i="9" a="1"/>
  <c r="I29" i="9" a="1"/>
  <c r="I60" i="9" a="1"/>
  <c r="I230" i="9" a="1"/>
  <c r="I28" i="9" a="1"/>
  <c r="I181" i="9" a="1"/>
  <c r="I215" i="9" a="1"/>
  <c r="I158" i="9" a="1"/>
  <c r="I211" i="9" a="1"/>
  <c r="I144" i="9" a="1"/>
  <c r="I171" i="9" a="1"/>
  <c r="I94" i="9" a="1"/>
  <c r="I168" i="9" a="1"/>
  <c r="I219" i="9" a="1"/>
  <c r="I37" i="9" a="1"/>
  <c r="I217" i="9" a="1"/>
  <c r="I240" i="9" a="1"/>
  <c r="I189" i="9" a="1"/>
  <c r="I177" i="9" a="1"/>
  <c r="I131" i="9" a="1"/>
  <c r="I213" i="9" a="1"/>
  <c r="I103" i="9" a="1"/>
  <c r="I196" i="9" a="1"/>
  <c r="I234" i="9" a="1"/>
  <c r="I56" i="9" a="1"/>
  <c r="I95" i="9" a="1"/>
  <c r="I166" i="9" a="1"/>
  <c r="I70" i="9" a="1"/>
  <c r="I76" i="9" a="1"/>
  <c r="I106" i="9" a="1"/>
  <c r="I59" i="9" a="1"/>
  <c r="I68" i="9" a="1"/>
  <c r="I23" i="9" a="1"/>
  <c r="I252" i="9" a="1"/>
  <c r="I260" i="9" a="1"/>
  <c r="I223" i="9" a="1"/>
  <c r="I97" i="9" a="1"/>
  <c r="I85" i="9" a="1"/>
  <c r="I69" i="9" a="1"/>
  <c r="I45" i="9" a="1"/>
  <c r="I75" i="9" a="1"/>
  <c r="I257" i="9" a="1"/>
  <c r="I255" i="9" a="1"/>
  <c r="I67" i="9" a="1"/>
  <c r="I183" i="9" a="1"/>
  <c r="I220" i="9" a="1"/>
  <c r="I221" i="9" a="1"/>
  <c r="I225" i="9" a="1"/>
  <c r="I81" i="9" a="1"/>
  <c r="I197" i="9" a="1"/>
  <c r="I110" i="9" a="1"/>
  <c r="I134" i="9" a="1"/>
  <c r="I84" i="9" a="1"/>
  <c r="I105" i="9" a="1"/>
  <c r="I72" i="9" a="1"/>
  <c r="I176" i="9" a="1"/>
  <c r="I63" i="9" a="1"/>
  <c r="I132" i="9" a="1"/>
  <c r="I74" i="9" a="1"/>
  <c r="I244" i="9" a="1"/>
  <c r="I36" i="9" a="1"/>
  <c r="I212" i="9" a="1"/>
  <c r="I178" i="9" a="1"/>
  <c r="J197" i="9" l="1"/>
  <c r="M197" i="9" s="1"/>
  <c r="P197" i="9" s="1"/>
  <c r="I197" i="9"/>
  <c r="L197" i="9" s="1"/>
  <c r="O197" i="9" s="1"/>
  <c r="J260" i="9"/>
  <c r="M260" i="9" s="1"/>
  <c r="P260" i="9" s="1"/>
  <c r="I260" i="9"/>
  <c r="L260" i="9" s="1"/>
  <c r="O260" i="9" s="1"/>
  <c r="J178" i="9"/>
  <c r="M178" i="9" s="1"/>
  <c r="P178" i="9" s="1"/>
  <c r="I178" i="9"/>
  <c r="L178" i="9" s="1"/>
  <c r="O178" i="9" s="1"/>
  <c r="J105" i="9"/>
  <c r="M105" i="9" s="1"/>
  <c r="P105" i="9" s="1"/>
  <c r="I105" i="9"/>
  <c r="L105" i="9" s="1"/>
  <c r="O105" i="9" s="1"/>
  <c r="I110" i="9"/>
  <c r="L110" i="9" s="1"/>
  <c r="O110" i="9" s="1"/>
  <c r="J110" i="9"/>
  <c r="M110" i="9" s="1"/>
  <c r="P110" i="9" s="1"/>
  <c r="J97" i="9"/>
  <c r="M97" i="9" s="1"/>
  <c r="P97" i="9" s="1"/>
  <c r="I97" i="9"/>
  <c r="L97" i="9" s="1"/>
  <c r="O97" i="9" s="1"/>
  <c r="J59" i="9"/>
  <c r="M59" i="9" s="1"/>
  <c r="P59" i="9" s="1"/>
  <c r="I59" i="9"/>
  <c r="L59" i="9" s="1"/>
  <c r="O59" i="9" s="1"/>
  <c r="J95" i="9"/>
  <c r="M95" i="9" s="1"/>
  <c r="P95" i="9" s="1"/>
  <c r="I95" i="9"/>
  <c r="L95" i="9" s="1"/>
  <c r="O95" i="9" s="1"/>
  <c r="J168" i="9"/>
  <c r="M168" i="9" s="1"/>
  <c r="P168" i="9" s="1"/>
  <c r="I168" i="9"/>
  <c r="L168" i="9" s="1"/>
  <c r="O168" i="9" s="1"/>
  <c r="J15" i="9"/>
  <c r="M15" i="9" s="1"/>
  <c r="P15" i="9" s="1"/>
  <c r="I15" i="9"/>
  <c r="L15" i="9" s="1"/>
  <c r="O15" i="9" s="1"/>
  <c r="I141" i="9"/>
  <c r="L141" i="9" s="1"/>
  <c r="O141" i="9" s="1"/>
  <c r="J141" i="9"/>
  <c r="M141" i="9" s="1"/>
  <c r="P141" i="9" s="1"/>
  <c r="J152" i="9"/>
  <c r="M152" i="9" s="1"/>
  <c r="P152" i="9" s="1"/>
  <c r="I152" i="9"/>
  <c r="L152" i="9" s="1"/>
  <c r="O152" i="9" s="1"/>
  <c r="I170" i="9"/>
  <c r="L170" i="9" s="1"/>
  <c r="O170" i="9" s="1"/>
  <c r="J170" i="9"/>
  <c r="M170" i="9" s="1"/>
  <c r="P170" i="9" s="1"/>
  <c r="I202" i="9"/>
  <c r="L202" i="9" s="1"/>
  <c r="O202" i="9" s="1"/>
  <c r="J202" i="9"/>
  <c r="M202" i="9" s="1"/>
  <c r="P202" i="9" s="1"/>
  <c r="I130" i="9"/>
  <c r="L130" i="9" s="1"/>
  <c r="O130" i="9" s="1"/>
  <c r="J130" i="9"/>
  <c r="M130" i="9" s="1"/>
  <c r="P130" i="9" s="1"/>
  <c r="I11" i="9"/>
  <c r="L11" i="9" s="1"/>
  <c r="O11" i="9" s="1"/>
  <c r="J11" i="9"/>
  <c r="M11" i="9" s="1"/>
  <c r="P11" i="9" s="1"/>
  <c r="I238" i="9"/>
  <c r="L238" i="9" s="1"/>
  <c r="O238" i="9" s="1"/>
  <c r="J238" i="9"/>
  <c r="M238" i="9" s="1"/>
  <c r="P238" i="9" s="1"/>
  <c r="I125" i="9"/>
  <c r="L125" i="9" s="1"/>
  <c r="O125" i="9" s="1"/>
  <c r="J125" i="9"/>
  <c r="M125" i="9" s="1"/>
  <c r="P125" i="9" s="1"/>
  <c r="J208" i="9"/>
  <c r="M208" i="9" s="1"/>
  <c r="P208" i="9" s="1"/>
  <c r="I208" i="9"/>
  <c r="L208" i="9" s="1"/>
  <c r="O208" i="9" s="1"/>
  <c r="J259" i="9"/>
  <c r="M259" i="9" s="1"/>
  <c r="P259" i="9" s="1"/>
  <c r="I259" i="9"/>
  <c r="L259" i="9" s="1"/>
  <c r="O259" i="9" s="1"/>
  <c r="I44" i="9"/>
  <c r="L44" i="9" s="1"/>
  <c r="O44" i="9" s="1"/>
  <c r="J44" i="9"/>
  <c r="M44" i="9" s="1"/>
  <c r="P44" i="9" s="1"/>
  <c r="I41" i="9"/>
  <c r="L41" i="9" s="1"/>
  <c r="O41" i="9" s="1"/>
  <c r="J41" i="9"/>
  <c r="M41" i="9" s="1"/>
  <c r="P41" i="9" s="1"/>
  <c r="I137" i="9"/>
  <c r="L137" i="9" s="1"/>
  <c r="O137" i="9" s="1"/>
  <c r="J137" i="9"/>
  <c r="M137" i="9" s="1"/>
  <c r="P137" i="9" s="1"/>
  <c r="J226" i="9"/>
  <c r="M226" i="9" s="1"/>
  <c r="P226" i="9" s="1"/>
  <c r="I226" i="9"/>
  <c r="L226" i="9" s="1"/>
  <c r="O226" i="9" s="1"/>
  <c r="I127" i="9"/>
  <c r="L127" i="9" s="1"/>
  <c r="O127" i="9" s="1"/>
  <c r="J127" i="9"/>
  <c r="M127" i="9" s="1"/>
  <c r="P127" i="9" s="1"/>
  <c r="I129" i="9"/>
  <c r="L129" i="9" s="1"/>
  <c r="O129" i="9" s="1"/>
  <c r="J129" i="9"/>
  <c r="M129" i="9" s="1"/>
  <c r="P129" i="9" s="1"/>
  <c r="I218" i="9"/>
  <c r="L218" i="9" s="1"/>
  <c r="O218" i="9" s="1"/>
  <c r="J218" i="9"/>
  <c r="M218" i="9" s="1"/>
  <c r="P218" i="9" s="1"/>
  <c r="J27" i="9"/>
  <c r="M27" i="9" s="1"/>
  <c r="P27" i="9" s="1"/>
  <c r="I27" i="9"/>
  <c r="L27" i="9" s="1"/>
  <c r="O27" i="9" s="1"/>
  <c r="J30" i="9"/>
  <c r="M30" i="9" s="1"/>
  <c r="P30" i="9" s="1"/>
  <c r="I30" i="9"/>
  <c r="L30" i="9" s="1"/>
  <c r="O30" i="9" s="1"/>
  <c r="J161" i="9"/>
  <c r="M161" i="9" s="1"/>
  <c r="P161" i="9" s="1"/>
  <c r="I161" i="9"/>
  <c r="L161" i="9" s="1"/>
  <c r="O161" i="9" s="1"/>
  <c r="J143" i="9"/>
  <c r="M143" i="9" s="1"/>
  <c r="P143" i="9" s="1"/>
  <c r="I143" i="9"/>
  <c r="L143" i="9" s="1"/>
  <c r="O143" i="9" s="1"/>
  <c r="J79" i="9"/>
  <c r="M79" i="9" s="1"/>
  <c r="P79" i="9" s="1"/>
  <c r="I79" i="9"/>
  <c r="L79" i="9" s="1"/>
  <c r="O79" i="9" s="1"/>
  <c r="I71" i="9"/>
  <c r="L71" i="9" s="1"/>
  <c r="O71" i="9" s="1"/>
  <c r="J71" i="9"/>
  <c r="M71" i="9" s="1"/>
  <c r="P71" i="9" s="1"/>
  <c r="I154" i="9"/>
  <c r="L154" i="9" s="1"/>
  <c r="O154" i="9" s="1"/>
  <c r="J154" i="9"/>
  <c r="M154" i="9" s="1"/>
  <c r="P154" i="9" s="1"/>
  <c r="J179" i="9"/>
  <c r="M179" i="9" s="1"/>
  <c r="P179" i="9" s="1"/>
  <c r="I179" i="9"/>
  <c r="L179" i="9" s="1"/>
  <c r="O179" i="9" s="1"/>
  <c r="I225" i="9"/>
  <c r="L225" i="9" s="1"/>
  <c r="O225" i="9" s="1"/>
  <c r="J225" i="9"/>
  <c r="M225" i="9" s="1"/>
  <c r="P225" i="9" s="1"/>
  <c r="I67" i="9"/>
  <c r="L67" i="9" s="1"/>
  <c r="O67" i="9" s="1"/>
  <c r="J67" i="9"/>
  <c r="M67" i="9" s="1"/>
  <c r="P67" i="9" s="1"/>
  <c r="I255" i="9"/>
  <c r="L255" i="9" s="1"/>
  <c r="O255" i="9" s="1"/>
  <c r="J255" i="9"/>
  <c r="M255" i="9" s="1"/>
  <c r="P255" i="9" s="1"/>
  <c r="J69" i="9"/>
  <c r="M69" i="9" s="1"/>
  <c r="P69" i="9" s="1"/>
  <c r="I69" i="9"/>
  <c r="L69" i="9" s="1"/>
  <c r="O69" i="9" s="1"/>
  <c r="I252" i="9"/>
  <c r="L252" i="9" s="1"/>
  <c r="O252" i="9" s="1"/>
  <c r="J252" i="9"/>
  <c r="M252" i="9" s="1"/>
  <c r="P252" i="9" s="1"/>
  <c r="J106" i="9"/>
  <c r="M106" i="9" s="1"/>
  <c r="P106" i="9" s="1"/>
  <c r="I106" i="9"/>
  <c r="L106" i="9" s="1"/>
  <c r="O106" i="9" s="1"/>
  <c r="I56" i="9"/>
  <c r="L56" i="9" s="1"/>
  <c r="O56" i="9" s="1"/>
  <c r="J56" i="9"/>
  <c r="M56" i="9" s="1"/>
  <c r="P56" i="9" s="1"/>
  <c r="J94" i="9"/>
  <c r="M94" i="9" s="1"/>
  <c r="P94" i="9" s="1"/>
  <c r="I94" i="9"/>
  <c r="L94" i="9" s="1"/>
  <c r="O94" i="9" s="1"/>
  <c r="J60" i="9"/>
  <c r="M60" i="9" s="1"/>
  <c r="P60" i="9" s="1"/>
  <c r="I60" i="9"/>
  <c r="L60" i="9" s="1"/>
  <c r="O60" i="9" s="1"/>
  <c r="J209" i="9"/>
  <c r="M209" i="9" s="1"/>
  <c r="P209" i="9" s="1"/>
  <c r="I209" i="9"/>
  <c r="L209" i="9" s="1"/>
  <c r="O209" i="9" s="1"/>
  <c r="J62" i="9"/>
  <c r="M62" i="9" s="1"/>
  <c r="P62" i="9" s="1"/>
  <c r="I62" i="9"/>
  <c r="L62" i="9" s="1"/>
  <c r="O62" i="9" s="1"/>
  <c r="I157" i="9"/>
  <c r="L157" i="9" s="1"/>
  <c r="O157" i="9" s="1"/>
  <c r="J157" i="9"/>
  <c r="M157" i="9" s="1"/>
  <c r="P157" i="9" s="1"/>
  <c r="I40" i="9"/>
  <c r="L40" i="9" s="1"/>
  <c r="O40" i="9" s="1"/>
  <c r="J40" i="9"/>
  <c r="M40" i="9" s="1"/>
  <c r="P40" i="9" s="1"/>
  <c r="I47" i="9"/>
  <c r="L47" i="9" s="1"/>
  <c r="O47" i="9" s="1"/>
  <c r="J47" i="9"/>
  <c r="M47" i="9" s="1"/>
  <c r="P47" i="9" s="1"/>
  <c r="I172" i="9"/>
  <c r="L172" i="9" s="1"/>
  <c r="O172" i="9" s="1"/>
  <c r="J172" i="9"/>
  <c r="M172" i="9" s="1"/>
  <c r="P172" i="9" s="1"/>
  <c r="I254" i="9"/>
  <c r="L254" i="9" s="1"/>
  <c r="O254" i="9" s="1"/>
  <c r="J254" i="9"/>
  <c r="M254" i="9" s="1"/>
  <c r="P254" i="9" s="1"/>
  <c r="I61" i="9"/>
  <c r="L61" i="9" s="1"/>
  <c r="O61" i="9" s="1"/>
  <c r="J61" i="9"/>
  <c r="M61" i="9" s="1"/>
  <c r="P61" i="9" s="1"/>
  <c r="J3" i="9"/>
  <c r="M3" i="9" s="1"/>
  <c r="P3" i="9" s="1"/>
  <c r="I3" i="9"/>
  <c r="L3" i="9" s="1"/>
  <c r="O3" i="9" s="1"/>
  <c r="J18" i="9"/>
  <c r="M18" i="9" s="1"/>
  <c r="P18" i="9" s="1"/>
  <c r="I18" i="9"/>
  <c r="L18" i="9" s="1"/>
  <c r="O18" i="9" s="1"/>
  <c r="J10" i="9"/>
  <c r="M10" i="9" s="1"/>
  <c r="P10" i="9" s="1"/>
  <c r="I10" i="9"/>
  <c r="L10" i="9" s="1"/>
  <c r="O10" i="9" s="1"/>
  <c r="I164" i="9"/>
  <c r="L164" i="9" s="1"/>
  <c r="O164" i="9" s="1"/>
  <c r="J164" i="9"/>
  <c r="M164" i="9" s="1"/>
  <c r="P164" i="9" s="1"/>
  <c r="J162" i="9"/>
  <c r="M162" i="9" s="1"/>
  <c r="P162" i="9" s="1"/>
  <c r="I162" i="9"/>
  <c r="L162" i="9" s="1"/>
  <c r="O162" i="9" s="1"/>
  <c r="I8" i="9"/>
  <c r="L8" i="9" s="1"/>
  <c r="O8" i="9" s="1"/>
  <c r="J8" i="9"/>
  <c r="M8" i="9" s="1"/>
  <c r="P8" i="9" s="1"/>
  <c r="J148" i="9"/>
  <c r="M148" i="9" s="1"/>
  <c r="P148" i="9" s="1"/>
  <c r="I148" i="9"/>
  <c r="L148" i="9" s="1"/>
  <c r="O148" i="9" s="1"/>
  <c r="J243" i="9"/>
  <c r="M243" i="9" s="1"/>
  <c r="P243" i="9" s="1"/>
  <c r="I243" i="9"/>
  <c r="L243" i="9" s="1"/>
  <c r="O243" i="9" s="1"/>
  <c r="I80" i="9"/>
  <c r="L80" i="9" s="1"/>
  <c r="O80" i="9" s="1"/>
  <c r="J80" i="9"/>
  <c r="M80" i="9" s="1"/>
  <c r="P80" i="9" s="1"/>
  <c r="I229" i="9"/>
  <c r="L229" i="9" s="1"/>
  <c r="O229" i="9" s="1"/>
  <c r="J229" i="9"/>
  <c r="M229" i="9" s="1"/>
  <c r="P229" i="9" s="1"/>
  <c r="J139" i="9"/>
  <c r="M139" i="9" s="1"/>
  <c r="P139" i="9" s="1"/>
  <c r="I139" i="9"/>
  <c r="L139" i="9" s="1"/>
  <c r="O139" i="9" s="1"/>
  <c r="I237" i="9"/>
  <c r="L237" i="9" s="1"/>
  <c r="O237" i="9" s="1"/>
  <c r="J237" i="9"/>
  <c r="M237" i="9" s="1"/>
  <c r="P237" i="9" s="1"/>
  <c r="J36" i="9"/>
  <c r="M36" i="9" s="1"/>
  <c r="P36" i="9" s="1"/>
  <c r="I36" i="9"/>
  <c r="L36" i="9" s="1"/>
  <c r="O36" i="9" s="1"/>
  <c r="I85" i="9"/>
  <c r="L85" i="9" s="1"/>
  <c r="O85" i="9" s="1"/>
  <c r="J85" i="9"/>
  <c r="M85" i="9" s="1"/>
  <c r="P85" i="9" s="1"/>
  <c r="J196" i="9"/>
  <c r="M196" i="9" s="1"/>
  <c r="P196" i="9" s="1"/>
  <c r="I196" i="9"/>
  <c r="L196" i="9" s="1"/>
  <c r="O196" i="9" s="1"/>
  <c r="I240" i="9"/>
  <c r="L240" i="9" s="1"/>
  <c r="O240" i="9" s="1"/>
  <c r="J240" i="9"/>
  <c r="M240" i="9" s="1"/>
  <c r="P240" i="9" s="1"/>
  <c r="I242" i="9"/>
  <c r="L242" i="9" s="1"/>
  <c r="O242" i="9" s="1"/>
  <c r="J242" i="9"/>
  <c r="M242" i="9" s="1"/>
  <c r="P242" i="9" s="1"/>
  <c r="J194" i="9"/>
  <c r="M194" i="9" s="1"/>
  <c r="P194" i="9" s="1"/>
  <c r="I194" i="9"/>
  <c r="L194" i="9" s="1"/>
  <c r="O194" i="9" s="1"/>
  <c r="J86" i="9"/>
  <c r="M86" i="9" s="1"/>
  <c r="P86" i="9" s="1"/>
  <c r="I86" i="9"/>
  <c r="L86" i="9" s="1"/>
  <c r="O86" i="9" s="1"/>
  <c r="I12" i="9"/>
  <c r="L12" i="9" s="1"/>
  <c r="O12" i="9" s="1"/>
  <c r="J12" i="9"/>
  <c r="M12" i="9" s="1"/>
  <c r="P12" i="9" s="1"/>
  <c r="I214" i="9"/>
  <c r="L214" i="9" s="1"/>
  <c r="O214" i="9" s="1"/>
  <c r="J214" i="9"/>
  <c r="M214" i="9" s="1"/>
  <c r="P214" i="9" s="1"/>
  <c r="I102" i="9"/>
  <c r="L102" i="9" s="1"/>
  <c r="O102" i="9" s="1"/>
  <c r="J102" i="9"/>
  <c r="M102" i="9" s="1"/>
  <c r="P102" i="9" s="1"/>
  <c r="J173" i="9"/>
  <c r="M173" i="9" s="1"/>
  <c r="P173" i="9" s="1"/>
  <c r="I173" i="9"/>
  <c r="L173" i="9" s="1"/>
  <c r="O173" i="9" s="1"/>
  <c r="J180" i="9"/>
  <c r="M180" i="9" s="1"/>
  <c r="P180" i="9" s="1"/>
  <c r="I180" i="9"/>
  <c r="L180" i="9" s="1"/>
  <c r="O180" i="9" s="1"/>
  <c r="J35" i="9"/>
  <c r="M35" i="9" s="1"/>
  <c r="P35" i="9" s="1"/>
  <c r="I35" i="9"/>
  <c r="L35" i="9" s="1"/>
  <c r="O35" i="9" s="1"/>
  <c r="I32" i="9"/>
  <c r="L32" i="9" s="1"/>
  <c r="O32" i="9" s="1"/>
  <c r="J32" i="9"/>
  <c r="M32" i="9" s="1"/>
  <c r="P32" i="9" s="1"/>
  <c r="J26" i="9"/>
  <c r="M26" i="9" s="1"/>
  <c r="P26" i="9" s="1"/>
  <c r="I26" i="9"/>
  <c r="L26" i="9" s="1"/>
  <c r="O26" i="9" s="1"/>
  <c r="I43" i="9"/>
  <c r="L43" i="9" s="1"/>
  <c r="O43" i="9" s="1"/>
  <c r="J43" i="9"/>
  <c r="M43" i="9" s="1"/>
  <c r="P43" i="9" s="1"/>
  <c r="I38" i="9"/>
  <c r="L38" i="9" s="1"/>
  <c r="O38" i="9" s="1"/>
  <c r="J38" i="9"/>
  <c r="M38" i="9" s="1"/>
  <c r="P38" i="9" s="1"/>
  <c r="J57" i="9"/>
  <c r="M57" i="9" s="1"/>
  <c r="P57" i="9" s="1"/>
  <c r="I57" i="9"/>
  <c r="L57" i="9" s="1"/>
  <c r="O57" i="9" s="1"/>
  <c r="I251" i="9"/>
  <c r="L251" i="9" s="1"/>
  <c r="O251" i="9" s="1"/>
  <c r="J251" i="9"/>
  <c r="M251" i="9" s="1"/>
  <c r="P251" i="9" s="1"/>
  <c r="I117" i="9"/>
  <c r="L117" i="9" s="1"/>
  <c r="O117" i="9" s="1"/>
  <c r="J117" i="9"/>
  <c r="M117" i="9" s="1"/>
  <c r="P117" i="9" s="1"/>
  <c r="J25" i="9"/>
  <c r="M25" i="9" s="1"/>
  <c r="P25" i="9" s="1"/>
  <c r="I25" i="9"/>
  <c r="L25" i="9" s="1"/>
  <c r="O25" i="9" s="1"/>
  <c r="I160" i="9"/>
  <c r="L160" i="9" s="1"/>
  <c r="O160" i="9" s="1"/>
  <c r="J160" i="9"/>
  <c r="M160" i="9" s="1"/>
  <c r="P160" i="9" s="1"/>
  <c r="I121" i="9"/>
  <c r="L121" i="9" s="1"/>
  <c r="O121" i="9" s="1"/>
  <c r="J121" i="9"/>
  <c r="M121" i="9" s="1"/>
  <c r="P121" i="9" s="1"/>
  <c r="J235" i="9"/>
  <c r="M235" i="9" s="1"/>
  <c r="P235" i="9" s="1"/>
  <c r="I235" i="9"/>
  <c r="L235" i="9" s="1"/>
  <c r="O235" i="9" s="1"/>
  <c r="I249" i="9"/>
  <c r="L249" i="9" s="1"/>
  <c r="O249" i="9" s="1"/>
  <c r="J249" i="9"/>
  <c r="M249" i="9" s="1"/>
  <c r="P249" i="9" s="1"/>
  <c r="J191" i="9"/>
  <c r="M191" i="9" s="1"/>
  <c r="P191" i="9" s="1"/>
  <c r="I191" i="9"/>
  <c r="L191" i="9" s="1"/>
  <c r="O191" i="9" s="1"/>
  <c r="I104" i="9"/>
  <c r="L104" i="9" s="1"/>
  <c r="O104" i="9" s="1"/>
  <c r="J104" i="9"/>
  <c r="M104" i="9" s="1"/>
  <c r="P104" i="9" s="1"/>
  <c r="I239" i="9"/>
  <c r="L239" i="9" s="1"/>
  <c r="O239" i="9" s="1"/>
  <c r="J239" i="9"/>
  <c r="M239" i="9" s="1"/>
  <c r="P239" i="9" s="1"/>
  <c r="I14" i="9"/>
  <c r="L14" i="9" s="1"/>
  <c r="O14" i="9" s="1"/>
  <c r="J14" i="9"/>
  <c r="M14" i="9" s="1"/>
  <c r="P14" i="9" s="1"/>
  <c r="J122" i="9"/>
  <c r="M122" i="9" s="1"/>
  <c r="P122" i="9" s="1"/>
  <c r="I122" i="9"/>
  <c r="L122" i="9" s="1"/>
  <c r="O122" i="9" s="1"/>
  <c r="I244" i="9"/>
  <c r="L244" i="9" s="1"/>
  <c r="O244" i="9" s="1"/>
  <c r="J244" i="9"/>
  <c r="M244" i="9" s="1"/>
  <c r="P244" i="9" s="1"/>
  <c r="I74" i="9"/>
  <c r="L74" i="9" s="1"/>
  <c r="O74" i="9" s="1"/>
  <c r="J74" i="9"/>
  <c r="M74" i="9" s="1"/>
  <c r="P74" i="9" s="1"/>
  <c r="J132" i="9"/>
  <c r="M132" i="9" s="1"/>
  <c r="P132" i="9" s="1"/>
  <c r="I132" i="9"/>
  <c r="L132" i="9" s="1"/>
  <c r="O132" i="9" s="1"/>
  <c r="I63" i="9"/>
  <c r="L63" i="9" s="1"/>
  <c r="O63" i="9" s="1"/>
  <c r="J63" i="9"/>
  <c r="M63" i="9" s="1"/>
  <c r="P63" i="9" s="1"/>
  <c r="I176" i="9"/>
  <c r="L176" i="9" s="1"/>
  <c r="O176" i="9" s="1"/>
  <c r="J176" i="9"/>
  <c r="M176" i="9" s="1"/>
  <c r="P176" i="9" s="1"/>
  <c r="I72" i="9"/>
  <c r="L72" i="9" s="1"/>
  <c r="O72" i="9" s="1"/>
  <c r="J72" i="9"/>
  <c r="M72" i="9" s="1"/>
  <c r="P72" i="9" s="1"/>
  <c r="J134" i="9"/>
  <c r="M134" i="9" s="1"/>
  <c r="P134" i="9" s="1"/>
  <c r="I134" i="9"/>
  <c r="L134" i="9" s="1"/>
  <c r="O134" i="9" s="1"/>
  <c r="I103" i="9"/>
  <c r="L103" i="9" s="1"/>
  <c r="O103" i="9" s="1"/>
  <c r="J103" i="9"/>
  <c r="M103" i="9" s="1"/>
  <c r="P103" i="9" s="1"/>
  <c r="I213" i="9"/>
  <c r="L213" i="9" s="1"/>
  <c r="O213" i="9" s="1"/>
  <c r="J213" i="9"/>
  <c r="M213" i="9" s="1"/>
  <c r="P213" i="9" s="1"/>
  <c r="I217" i="9"/>
  <c r="L217" i="9" s="1"/>
  <c r="O217" i="9" s="1"/>
  <c r="J217" i="9"/>
  <c r="M217" i="9" s="1"/>
  <c r="P217" i="9" s="1"/>
  <c r="I65" i="9"/>
  <c r="L65" i="9" s="1"/>
  <c r="O65" i="9" s="1"/>
  <c r="J65" i="9"/>
  <c r="M65" i="9" s="1"/>
  <c r="P65" i="9" s="1"/>
  <c r="I153" i="9"/>
  <c r="L153" i="9" s="1"/>
  <c r="O153" i="9" s="1"/>
  <c r="J153" i="9"/>
  <c r="M153" i="9" s="1"/>
  <c r="P153" i="9" s="1"/>
  <c r="J188" i="9"/>
  <c r="M188" i="9" s="1"/>
  <c r="P188" i="9" s="1"/>
  <c r="I188" i="9"/>
  <c r="L188" i="9" s="1"/>
  <c r="O188" i="9" s="1"/>
  <c r="J205" i="9"/>
  <c r="M205" i="9" s="1"/>
  <c r="P205" i="9" s="1"/>
  <c r="I205" i="9"/>
  <c r="L205" i="9" s="1"/>
  <c r="O205" i="9" s="1"/>
  <c r="J20" i="9"/>
  <c r="M20" i="9" s="1"/>
  <c r="P20" i="9" s="1"/>
  <c r="I20" i="9"/>
  <c r="L20" i="9" s="1"/>
  <c r="O20" i="9" s="1"/>
  <c r="J58" i="9"/>
  <c r="M58" i="9" s="1"/>
  <c r="P58" i="9" s="1"/>
  <c r="I58" i="9"/>
  <c r="L58" i="9" s="1"/>
  <c r="O58" i="9" s="1"/>
  <c r="J133" i="9"/>
  <c r="M133" i="9" s="1"/>
  <c r="P133" i="9" s="1"/>
  <c r="I133" i="9"/>
  <c r="L133" i="9" s="1"/>
  <c r="O133" i="9" s="1"/>
  <c r="J256" i="9"/>
  <c r="M256" i="9" s="1"/>
  <c r="P256" i="9" s="1"/>
  <c r="I256" i="9"/>
  <c r="L256" i="9" s="1"/>
  <c r="O256" i="9" s="1"/>
  <c r="J136" i="9"/>
  <c r="M136" i="9" s="1"/>
  <c r="P136" i="9" s="1"/>
  <c r="I136" i="9"/>
  <c r="L136" i="9" s="1"/>
  <c r="O136" i="9" s="1"/>
  <c r="I52" i="9"/>
  <c r="L52" i="9" s="1"/>
  <c r="O52" i="9" s="1"/>
  <c r="J52" i="9"/>
  <c r="M52" i="9" s="1"/>
  <c r="P52" i="9" s="1"/>
  <c r="J236" i="9"/>
  <c r="M236" i="9" s="1"/>
  <c r="P236" i="9" s="1"/>
  <c r="I236" i="9"/>
  <c r="L236" i="9" s="1"/>
  <c r="O236" i="9" s="1"/>
  <c r="I228" i="9"/>
  <c r="L228" i="9" s="1"/>
  <c r="O228" i="9" s="1"/>
  <c r="J228" i="9"/>
  <c r="M228" i="9" s="1"/>
  <c r="P228" i="9" s="1"/>
  <c r="I64" i="9"/>
  <c r="L64" i="9" s="1"/>
  <c r="O64" i="9" s="1"/>
  <c r="J64" i="9"/>
  <c r="M64" i="9" s="1"/>
  <c r="P64" i="9" s="1"/>
  <c r="J200" i="9"/>
  <c r="M200" i="9" s="1"/>
  <c r="P200" i="9" s="1"/>
  <c r="I200" i="9"/>
  <c r="L200" i="9" s="1"/>
  <c r="O200" i="9" s="1"/>
  <c r="I169" i="9"/>
  <c r="L169" i="9" s="1"/>
  <c r="O169" i="9" s="1"/>
  <c r="J169" i="9"/>
  <c r="M169" i="9" s="1"/>
  <c r="P169" i="9" s="1"/>
  <c r="I24" i="9"/>
  <c r="L24" i="9" s="1"/>
  <c r="O24" i="9" s="1"/>
  <c r="J24" i="9"/>
  <c r="M24" i="9" s="1"/>
  <c r="P24" i="9" s="1"/>
  <c r="J198" i="9"/>
  <c r="M198" i="9" s="1"/>
  <c r="P198" i="9" s="1"/>
  <c r="I198" i="9"/>
  <c r="L198" i="9" s="1"/>
  <c r="O198" i="9" s="1"/>
  <c r="J112" i="9"/>
  <c r="M112" i="9" s="1"/>
  <c r="P112" i="9" s="1"/>
  <c r="I112" i="9"/>
  <c r="L112" i="9" s="1"/>
  <c r="O112" i="9" s="1"/>
  <c r="J193" i="9"/>
  <c r="M193" i="9" s="1"/>
  <c r="P193" i="9" s="1"/>
  <c r="I193" i="9"/>
  <c r="L193" i="9" s="1"/>
  <c r="O193" i="9" s="1"/>
  <c r="J31" i="9"/>
  <c r="M31" i="9" s="1"/>
  <c r="P31" i="9" s="1"/>
  <c r="I31" i="9"/>
  <c r="L31" i="9" s="1"/>
  <c r="O31" i="9" s="1"/>
  <c r="J123" i="9"/>
  <c r="M123" i="9" s="1"/>
  <c r="P123" i="9" s="1"/>
  <c r="I123" i="9"/>
  <c r="L123" i="9" s="1"/>
  <c r="O123" i="9" s="1"/>
  <c r="I22" i="9"/>
  <c r="L22" i="9" s="1"/>
  <c r="O22" i="9" s="1"/>
  <c r="J22" i="9"/>
  <c r="M22" i="9" s="1"/>
  <c r="P22" i="9" s="1"/>
  <c r="J231" i="9"/>
  <c r="M231" i="9" s="1"/>
  <c r="P231" i="9" s="1"/>
  <c r="I231" i="9"/>
  <c r="L231" i="9" s="1"/>
  <c r="O231" i="9" s="1"/>
  <c r="I192" i="9"/>
  <c r="L192" i="9" s="1"/>
  <c r="O192" i="9" s="1"/>
  <c r="J192" i="9"/>
  <c r="M192" i="9" s="1"/>
  <c r="P192" i="9" s="1"/>
  <c r="J186" i="9"/>
  <c r="M186" i="9" s="1"/>
  <c r="P186" i="9" s="1"/>
  <c r="I186" i="9"/>
  <c r="L186" i="9" s="1"/>
  <c r="O186" i="9" s="1"/>
  <c r="I185" i="9"/>
  <c r="L185" i="9" s="1"/>
  <c r="O185" i="9" s="1"/>
  <c r="J185" i="9"/>
  <c r="M185" i="9" s="1"/>
  <c r="P185" i="9" s="1"/>
  <c r="I263" i="9"/>
  <c r="L263" i="9" s="1"/>
  <c r="O263" i="9" s="1"/>
  <c r="J263" i="9"/>
  <c r="M263" i="9" s="1"/>
  <c r="P263" i="9" s="1"/>
  <c r="J39" i="9"/>
  <c r="M39" i="9" s="1"/>
  <c r="P39" i="9" s="1"/>
  <c r="I39" i="9"/>
  <c r="L39" i="9" s="1"/>
  <c r="O39" i="9" s="1"/>
  <c r="I113" i="9"/>
  <c r="L113" i="9" s="1"/>
  <c r="O113" i="9" s="1"/>
  <c r="J113" i="9"/>
  <c r="M113" i="9" s="1"/>
  <c r="P113" i="9" s="1"/>
  <c r="I45" i="9"/>
  <c r="L45" i="9" s="1"/>
  <c r="O45" i="9" s="1"/>
  <c r="J45" i="9"/>
  <c r="M45" i="9" s="1"/>
  <c r="P45" i="9" s="1"/>
  <c r="J23" i="9"/>
  <c r="M23" i="9" s="1"/>
  <c r="P23" i="9" s="1"/>
  <c r="I23" i="9"/>
  <c r="L23" i="9" s="1"/>
  <c r="O23" i="9" s="1"/>
  <c r="J76" i="9"/>
  <c r="M76" i="9" s="1"/>
  <c r="P76" i="9" s="1"/>
  <c r="I76" i="9"/>
  <c r="L76" i="9" s="1"/>
  <c r="O76" i="9" s="1"/>
  <c r="I131" i="9"/>
  <c r="L131" i="9" s="1"/>
  <c r="O131" i="9" s="1"/>
  <c r="J131" i="9"/>
  <c r="M131" i="9" s="1"/>
  <c r="P131" i="9" s="1"/>
  <c r="I177" i="9"/>
  <c r="L177" i="9" s="1"/>
  <c r="O177" i="9" s="1"/>
  <c r="J177" i="9"/>
  <c r="M177" i="9" s="1"/>
  <c r="P177" i="9" s="1"/>
  <c r="J28" i="9"/>
  <c r="M28" i="9" s="1"/>
  <c r="P28" i="9" s="1"/>
  <c r="I28" i="9"/>
  <c r="L28" i="9" s="1"/>
  <c r="O28" i="9" s="1"/>
  <c r="I230" i="9"/>
  <c r="L230" i="9" s="1"/>
  <c r="O230" i="9" s="1"/>
  <c r="J230" i="9"/>
  <c r="M230" i="9" s="1"/>
  <c r="P230" i="9" s="1"/>
  <c r="I175" i="9"/>
  <c r="L175" i="9" s="1"/>
  <c r="O175" i="9" s="1"/>
  <c r="J175" i="9"/>
  <c r="M175" i="9" s="1"/>
  <c r="P175" i="9" s="1"/>
  <c r="J116" i="9"/>
  <c r="M116" i="9" s="1"/>
  <c r="P116" i="9" s="1"/>
  <c r="I116" i="9"/>
  <c r="L116" i="9" s="1"/>
  <c r="O116" i="9" s="1"/>
  <c r="J107" i="9"/>
  <c r="M107" i="9" s="1"/>
  <c r="P107" i="9" s="1"/>
  <c r="I107" i="9"/>
  <c r="L107" i="9" s="1"/>
  <c r="O107" i="9" s="1"/>
  <c r="J55" i="9"/>
  <c r="M55" i="9" s="1"/>
  <c r="P55" i="9" s="1"/>
  <c r="I55" i="9"/>
  <c r="L55" i="9" s="1"/>
  <c r="O55" i="9" s="1"/>
  <c r="I151" i="9"/>
  <c r="L151" i="9" s="1"/>
  <c r="O151" i="9" s="1"/>
  <c r="J151" i="9"/>
  <c r="M151" i="9" s="1"/>
  <c r="P151" i="9" s="1"/>
  <c r="I108" i="9"/>
  <c r="L108" i="9" s="1"/>
  <c r="O108" i="9" s="1"/>
  <c r="J108" i="9"/>
  <c r="M108" i="9" s="1"/>
  <c r="P108" i="9" s="1"/>
  <c r="I50" i="9"/>
  <c r="L50" i="9" s="1"/>
  <c r="O50" i="9" s="1"/>
  <c r="J50" i="9"/>
  <c r="M50" i="9" s="1"/>
  <c r="P50" i="9" s="1"/>
  <c r="I6" i="9"/>
  <c r="L6" i="9" s="1"/>
  <c r="O6" i="9" s="1"/>
  <c r="J6" i="9"/>
  <c r="M6" i="9" s="1"/>
  <c r="P6" i="9" s="1"/>
  <c r="I167" i="9"/>
  <c r="L167" i="9" s="1"/>
  <c r="O167" i="9" s="1"/>
  <c r="J167" i="9"/>
  <c r="M167" i="9" s="1"/>
  <c r="P167" i="9" s="1"/>
  <c r="J227" i="9"/>
  <c r="M227" i="9" s="1"/>
  <c r="P227" i="9" s="1"/>
  <c r="I227" i="9"/>
  <c r="L227" i="9" s="1"/>
  <c r="O227" i="9" s="1"/>
  <c r="I190" i="9"/>
  <c r="L190" i="9" s="1"/>
  <c r="O190" i="9" s="1"/>
  <c r="J190" i="9"/>
  <c r="M190" i="9" s="1"/>
  <c r="P190" i="9" s="1"/>
  <c r="J247" i="9"/>
  <c r="M247" i="9" s="1"/>
  <c r="P247" i="9" s="1"/>
  <c r="I247" i="9"/>
  <c r="L247" i="9" s="1"/>
  <c r="O247" i="9" s="1"/>
  <c r="J195" i="9"/>
  <c r="M195" i="9" s="1"/>
  <c r="P195" i="9" s="1"/>
  <c r="I195" i="9"/>
  <c r="L195" i="9" s="1"/>
  <c r="O195" i="9" s="1"/>
  <c r="I98" i="9"/>
  <c r="L98" i="9" s="1"/>
  <c r="O98" i="9" s="1"/>
  <c r="J98" i="9"/>
  <c r="M98" i="9" s="1"/>
  <c r="P98" i="9" s="1"/>
  <c r="J159" i="9"/>
  <c r="M159" i="9" s="1"/>
  <c r="P159" i="9" s="1"/>
  <c r="I159" i="9"/>
  <c r="L159" i="9" s="1"/>
  <c r="O159" i="9" s="1"/>
  <c r="I261" i="9"/>
  <c r="L261" i="9" s="1"/>
  <c r="O261" i="9" s="1"/>
  <c r="J261" i="9"/>
  <c r="M261" i="9" s="1"/>
  <c r="P261" i="9" s="1"/>
  <c r="J156" i="9"/>
  <c r="M156" i="9" s="1"/>
  <c r="P156" i="9" s="1"/>
  <c r="I156" i="9"/>
  <c r="L156" i="9" s="1"/>
  <c r="O156" i="9" s="1"/>
  <c r="J248" i="9"/>
  <c r="M248" i="9" s="1"/>
  <c r="P248" i="9" s="1"/>
  <c r="I248" i="9"/>
  <c r="L248" i="9" s="1"/>
  <c r="O248" i="9" s="1"/>
  <c r="I19" i="9"/>
  <c r="L19" i="9" s="1"/>
  <c r="O19" i="9" s="1"/>
  <c r="J19" i="9"/>
  <c r="M19" i="9" s="1"/>
  <c r="P19" i="9" s="1"/>
  <c r="J203" i="9"/>
  <c r="M203" i="9" s="1"/>
  <c r="P203" i="9" s="1"/>
  <c r="I203" i="9"/>
  <c r="L203" i="9" s="1"/>
  <c r="O203" i="9" s="1"/>
  <c r="J115" i="9"/>
  <c r="M115" i="9" s="1"/>
  <c r="P115" i="9" s="1"/>
  <c r="I115" i="9"/>
  <c r="L115" i="9" s="1"/>
  <c r="O115" i="9" s="1"/>
  <c r="J53" i="9"/>
  <c r="M53" i="9" s="1"/>
  <c r="P53" i="9" s="1"/>
  <c r="I53" i="9"/>
  <c r="L53" i="9" s="1"/>
  <c r="O53" i="9" s="1"/>
  <c r="J135" i="9"/>
  <c r="M135" i="9" s="1"/>
  <c r="P135" i="9" s="1"/>
  <c r="I135" i="9"/>
  <c r="L135" i="9" s="1"/>
  <c r="O135" i="9" s="1"/>
  <c r="J138" i="9"/>
  <c r="M138" i="9" s="1"/>
  <c r="P138" i="9" s="1"/>
  <c r="I138" i="9"/>
  <c r="L138" i="9" s="1"/>
  <c r="O138" i="9" s="1"/>
  <c r="J4" i="9"/>
  <c r="M4" i="9" s="1"/>
  <c r="P4" i="9" s="1"/>
  <c r="I4" i="9"/>
  <c r="L4" i="9" s="1"/>
  <c r="O4" i="9" s="1"/>
  <c r="I220" i="9"/>
  <c r="L220" i="9" s="1"/>
  <c r="O220" i="9" s="1"/>
  <c r="J220" i="9"/>
  <c r="M220" i="9" s="1"/>
  <c r="P220" i="9" s="1"/>
  <c r="J70" i="9"/>
  <c r="M70" i="9" s="1"/>
  <c r="P70" i="9" s="1"/>
  <c r="I70" i="9"/>
  <c r="L70" i="9" s="1"/>
  <c r="O70" i="9" s="1"/>
  <c r="J166" i="9"/>
  <c r="M166" i="9" s="1"/>
  <c r="P166" i="9" s="1"/>
  <c r="I166" i="9"/>
  <c r="L166" i="9" s="1"/>
  <c r="O166" i="9" s="1"/>
  <c r="J189" i="9"/>
  <c r="M189" i="9" s="1"/>
  <c r="P189" i="9" s="1"/>
  <c r="I189" i="9"/>
  <c r="L189" i="9" s="1"/>
  <c r="O189" i="9" s="1"/>
  <c r="I37" i="9"/>
  <c r="L37" i="9" s="1"/>
  <c r="O37" i="9" s="1"/>
  <c r="J37" i="9"/>
  <c r="M37" i="9" s="1"/>
  <c r="P37" i="9" s="1"/>
  <c r="I219" i="9"/>
  <c r="L219" i="9" s="1"/>
  <c r="O219" i="9" s="1"/>
  <c r="J219" i="9"/>
  <c r="M219" i="9" s="1"/>
  <c r="P219" i="9" s="1"/>
  <c r="I171" i="9"/>
  <c r="L171" i="9" s="1"/>
  <c r="O171" i="9" s="1"/>
  <c r="J171" i="9"/>
  <c r="M171" i="9" s="1"/>
  <c r="P171" i="9" s="1"/>
  <c r="I211" i="9"/>
  <c r="L211" i="9" s="1"/>
  <c r="O211" i="9" s="1"/>
  <c r="J211" i="9"/>
  <c r="M211" i="9" s="1"/>
  <c r="P211" i="9" s="1"/>
  <c r="I149" i="9"/>
  <c r="L149" i="9" s="1"/>
  <c r="O149" i="9" s="1"/>
  <c r="J149" i="9"/>
  <c r="M149" i="9" s="1"/>
  <c r="P149" i="9" s="1"/>
  <c r="I210" i="9"/>
  <c r="L210" i="9" s="1"/>
  <c r="O210" i="9" s="1"/>
  <c r="J210" i="9"/>
  <c r="M210" i="9" s="1"/>
  <c r="P210" i="9" s="1"/>
  <c r="I233" i="9"/>
  <c r="L233" i="9" s="1"/>
  <c r="O233" i="9" s="1"/>
  <c r="J233" i="9"/>
  <c r="M233" i="9" s="1"/>
  <c r="P233" i="9" s="1"/>
  <c r="J163" i="9"/>
  <c r="M163" i="9" s="1"/>
  <c r="P163" i="9" s="1"/>
  <c r="I163" i="9"/>
  <c r="L163" i="9" s="1"/>
  <c r="O163" i="9" s="1"/>
  <c r="I78" i="9"/>
  <c r="L78" i="9" s="1"/>
  <c r="O78" i="9" s="1"/>
  <c r="J78" i="9"/>
  <c r="M78" i="9" s="1"/>
  <c r="P78" i="9" s="1"/>
  <c r="J21" i="9"/>
  <c r="M21" i="9" s="1"/>
  <c r="P21" i="9" s="1"/>
  <c r="I21" i="9"/>
  <c r="L21" i="9" s="1"/>
  <c r="O21" i="9" s="1"/>
  <c r="J145" i="9"/>
  <c r="M145" i="9" s="1"/>
  <c r="P145" i="9" s="1"/>
  <c r="I145" i="9"/>
  <c r="L145" i="9" s="1"/>
  <c r="O145" i="9" s="1"/>
  <c r="J120" i="9"/>
  <c r="M120" i="9" s="1"/>
  <c r="P120" i="9" s="1"/>
  <c r="I120" i="9"/>
  <c r="L120" i="9" s="1"/>
  <c r="O120" i="9" s="1"/>
  <c r="J147" i="9"/>
  <c r="M147" i="9" s="1"/>
  <c r="P147" i="9" s="1"/>
  <c r="I147" i="9"/>
  <c r="L147" i="9" s="1"/>
  <c r="O147" i="9" s="1"/>
  <c r="I142" i="9"/>
  <c r="L142" i="9" s="1"/>
  <c r="O142" i="9" s="1"/>
  <c r="J142" i="9"/>
  <c r="M142" i="9" s="1"/>
  <c r="P142" i="9" s="1"/>
  <c r="J42" i="9"/>
  <c r="M42" i="9" s="1"/>
  <c r="P42" i="9" s="1"/>
  <c r="I42" i="9"/>
  <c r="L42" i="9" s="1"/>
  <c r="O42" i="9" s="1"/>
  <c r="J13" i="9"/>
  <c r="M13" i="9" s="1"/>
  <c r="P13" i="9" s="1"/>
  <c r="I13" i="9"/>
  <c r="L13" i="9" s="1"/>
  <c r="O13" i="9" s="1"/>
  <c r="I17" i="9"/>
  <c r="L17" i="9" s="1"/>
  <c r="O17" i="9" s="1"/>
  <c r="J17" i="9"/>
  <c r="M17" i="9" s="1"/>
  <c r="P17" i="9" s="1"/>
  <c r="J96" i="9"/>
  <c r="M96" i="9" s="1"/>
  <c r="P96" i="9" s="1"/>
  <c r="I96" i="9"/>
  <c r="L96" i="9" s="1"/>
  <c r="O96" i="9" s="1"/>
  <c r="J34" i="9"/>
  <c r="M34" i="9" s="1"/>
  <c r="P34" i="9" s="1"/>
  <c r="I34" i="9"/>
  <c r="L34" i="9" s="1"/>
  <c r="O34" i="9" s="1"/>
  <c r="I146" i="9"/>
  <c r="L146" i="9" s="1"/>
  <c r="O146" i="9" s="1"/>
  <c r="J146" i="9"/>
  <c r="M146" i="9" s="1"/>
  <c r="P146" i="9" s="1"/>
  <c r="I245" i="9"/>
  <c r="L245" i="9" s="1"/>
  <c r="O245" i="9" s="1"/>
  <c r="J245" i="9"/>
  <c r="M245" i="9" s="1"/>
  <c r="P245" i="9" s="1"/>
  <c r="I87" i="9"/>
  <c r="L87" i="9" s="1"/>
  <c r="O87" i="9" s="1"/>
  <c r="J87" i="9"/>
  <c r="M87" i="9" s="1"/>
  <c r="P87" i="9" s="1"/>
  <c r="I93" i="9"/>
  <c r="L93" i="9" s="1"/>
  <c r="O93" i="9" s="1"/>
  <c r="J93" i="9"/>
  <c r="M93" i="9" s="1"/>
  <c r="P93" i="9" s="1"/>
  <c r="J174" i="9"/>
  <c r="M174" i="9" s="1"/>
  <c r="P174" i="9" s="1"/>
  <c r="I174" i="9"/>
  <c r="L174" i="9" s="1"/>
  <c r="O174" i="9" s="1"/>
  <c r="J262" i="9"/>
  <c r="M262" i="9" s="1"/>
  <c r="P262" i="9" s="1"/>
  <c r="I262" i="9"/>
  <c r="L262" i="9" s="1"/>
  <c r="O262" i="9" s="1"/>
  <c r="J250" i="9"/>
  <c r="M250" i="9" s="1"/>
  <c r="P250" i="9" s="1"/>
  <c r="I250" i="9"/>
  <c r="L250" i="9" s="1"/>
  <c r="O250" i="9" s="1"/>
  <c r="J118" i="9"/>
  <c r="M118" i="9" s="1"/>
  <c r="P118" i="9" s="1"/>
  <c r="I118" i="9"/>
  <c r="L118" i="9" s="1"/>
  <c r="O118" i="9" s="1"/>
  <c r="J111" i="9"/>
  <c r="M111" i="9" s="1"/>
  <c r="P111" i="9" s="1"/>
  <c r="I111" i="9"/>
  <c r="L111" i="9" s="1"/>
  <c r="O111" i="9" s="1"/>
  <c r="J241" i="9"/>
  <c r="M241" i="9" s="1"/>
  <c r="P241" i="9" s="1"/>
  <c r="I241" i="9"/>
  <c r="L241" i="9" s="1"/>
  <c r="O241" i="9" s="1"/>
  <c r="I119" i="9"/>
  <c r="L119" i="9" s="1"/>
  <c r="O119" i="9" s="1"/>
  <c r="J119" i="9"/>
  <c r="M119" i="9" s="1"/>
  <c r="P119" i="9" s="1"/>
  <c r="I101" i="9"/>
  <c r="L101" i="9" s="1"/>
  <c r="O101" i="9" s="1"/>
  <c r="J101" i="9"/>
  <c r="M101" i="9" s="1"/>
  <c r="P101" i="9" s="1"/>
  <c r="I140" i="9"/>
  <c r="L140" i="9" s="1"/>
  <c r="O140" i="9" s="1"/>
  <c r="J140" i="9"/>
  <c r="M140" i="9" s="1"/>
  <c r="P140" i="9" s="1"/>
  <c r="I84" i="9"/>
  <c r="L84" i="9" s="1"/>
  <c r="O84" i="9" s="1"/>
  <c r="J84" i="9"/>
  <c r="M84" i="9" s="1"/>
  <c r="P84" i="9" s="1"/>
  <c r="I257" i="9"/>
  <c r="L257" i="9" s="1"/>
  <c r="O257" i="9" s="1"/>
  <c r="J257" i="9"/>
  <c r="M257" i="9" s="1"/>
  <c r="P257" i="9" s="1"/>
  <c r="J223" i="9"/>
  <c r="M223" i="9" s="1"/>
  <c r="P223" i="9" s="1"/>
  <c r="I223" i="9"/>
  <c r="L223" i="9" s="1"/>
  <c r="O223" i="9" s="1"/>
  <c r="J144" i="9"/>
  <c r="M144" i="9" s="1"/>
  <c r="P144" i="9" s="1"/>
  <c r="I144" i="9"/>
  <c r="L144" i="9" s="1"/>
  <c r="O144" i="9" s="1"/>
  <c r="I158" i="9"/>
  <c r="L158" i="9" s="1"/>
  <c r="O158" i="9" s="1"/>
  <c r="J158" i="9"/>
  <c r="M158" i="9" s="1"/>
  <c r="P158" i="9" s="1"/>
  <c r="I77" i="9"/>
  <c r="L77" i="9" s="1"/>
  <c r="O77" i="9" s="1"/>
  <c r="J77" i="9"/>
  <c r="M77" i="9" s="1"/>
  <c r="P77" i="9" s="1"/>
  <c r="J51" i="9"/>
  <c r="M51" i="9" s="1"/>
  <c r="P51" i="9" s="1"/>
  <c r="I51" i="9"/>
  <c r="L51" i="9" s="1"/>
  <c r="O51" i="9" s="1"/>
  <c r="I54" i="9"/>
  <c r="L54" i="9" s="1"/>
  <c r="O54" i="9" s="1"/>
  <c r="J54" i="9"/>
  <c r="M54" i="9" s="1"/>
  <c r="P54" i="9" s="1"/>
  <c r="J46" i="9"/>
  <c r="M46" i="9" s="1"/>
  <c r="P46" i="9" s="1"/>
  <c r="I46" i="9"/>
  <c r="L46" i="9" s="1"/>
  <c r="O46" i="9" s="1"/>
  <c r="I128" i="9"/>
  <c r="L128" i="9" s="1"/>
  <c r="O128" i="9" s="1"/>
  <c r="J128" i="9"/>
  <c r="M128" i="9" s="1"/>
  <c r="P128" i="9" s="1"/>
  <c r="I207" i="9"/>
  <c r="L207" i="9" s="1"/>
  <c r="O207" i="9" s="1"/>
  <c r="J207" i="9"/>
  <c r="M207" i="9" s="1"/>
  <c r="P207" i="9" s="1"/>
  <c r="I73" i="9"/>
  <c r="L73" i="9" s="1"/>
  <c r="O73" i="9" s="1"/>
  <c r="J73" i="9"/>
  <c r="M73" i="9" s="1"/>
  <c r="P73" i="9" s="1"/>
  <c r="I206" i="9"/>
  <c r="L206" i="9" s="1"/>
  <c r="O206" i="9" s="1"/>
  <c r="J206" i="9"/>
  <c r="M206" i="9" s="1"/>
  <c r="P206" i="9" s="1"/>
  <c r="J99" i="9"/>
  <c r="M99" i="9" s="1"/>
  <c r="P99" i="9" s="1"/>
  <c r="I99" i="9"/>
  <c r="L99" i="9" s="1"/>
  <c r="O99" i="9" s="1"/>
  <c r="J165" i="9"/>
  <c r="M165" i="9" s="1"/>
  <c r="P165" i="9" s="1"/>
  <c r="I165" i="9"/>
  <c r="L165" i="9" s="1"/>
  <c r="O165" i="9" s="1"/>
  <c r="J199" i="9"/>
  <c r="M199" i="9" s="1"/>
  <c r="P199" i="9" s="1"/>
  <c r="I199" i="9"/>
  <c r="L199" i="9" s="1"/>
  <c r="O199" i="9" s="1"/>
  <c r="I224" i="9"/>
  <c r="L224" i="9" s="1"/>
  <c r="O224" i="9" s="1"/>
  <c r="J224" i="9"/>
  <c r="M224" i="9" s="1"/>
  <c r="P224" i="9" s="1"/>
  <c r="J5" i="9"/>
  <c r="M5" i="9" s="1"/>
  <c r="P5" i="9" s="1"/>
  <c r="I5" i="9"/>
  <c r="L5" i="9" s="1"/>
  <c r="O5" i="9" s="1"/>
  <c r="J216" i="9"/>
  <c r="M216" i="9" s="1"/>
  <c r="P216" i="9" s="1"/>
  <c r="I216" i="9"/>
  <c r="L216" i="9" s="1"/>
  <c r="O216" i="9" s="1"/>
  <c r="J33" i="9"/>
  <c r="M33" i="9" s="1"/>
  <c r="P33" i="9" s="1"/>
  <c r="I33" i="9"/>
  <c r="L33" i="9" s="1"/>
  <c r="O33" i="9" s="1"/>
  <c r="I82" i="9"/>
  <c r="L82" i="9" s="1"/>
  <c r="O82" i="9" s="1"/>
  <c r="J82" i="9"/>
  <c r="M82" i="9" s="1"/>
  <c r="P82" i="9" s="1"/>
  <c r="I90" i="9"/>
  <c r="L90" i="9" s="1"/>
  <c r="O90" i="9" s="1"/>
  <c r="J90" i="9"/>
  <c r="M90" i="9" s="1"/>
  <c r="P90" i="9" s="1"/>
  <c r="I92" i="9"/>
  <c r="L92" i="9" s="1"/>
  <c r="O92" i="9" s="1"/>
  <c r="J92" i="9"/>
  <c r="M92" i="9" s="1"/>
  <c r="P92" i="9" s="1"/>
  <c r="I88" i="9"/>
  <c r="L88" i="9" s="1"/>
  <c r="O88" i="9" s="1"/>
  <c r="J88" i="9"/>
  <c r="M88" i="9" s="1"/>
  <c r="P88" i="9" s="1"/>
  <c r="I258" i="9"/>
  <c r="L258" i="9" s="1"/>
  <c r="O258" i="9" s="1"/>
  <c r="J258" i="9"/>
  <c r="M258" i="9" s="1"/>
  <c r="P258" i="9" s="1"/>
  <c r="J212" i="9"/>
  <c r="M212" i="9" s="1"/>
  <c r="P212" i="9" s="1"/>
  <c r="I212" i="9"/>
  <c r="L212" i="9" s="1"/>
  <c r="O212" i="9" s="1"/>
  <c r="I81" i="9"/>
  <c r="L81" i="9" s="1"/>
  <c r="O81" i="9" s="1"/>
  <c r="J81" i="9"/>
  <c r="M81" i="9" s="1"/>
  <c r="P81" i="9" s="1"/>
  <c r="J221" i="9"/>
  <c r="M221" i="9" s="1"/>
  <c r="P221" i="9" s="1"/>
  <c r="I221" i="9"/>
  <c r="L221" i="9" s="1"/>
  <c r="O221" i="9" s="1"/>
  <c r="I183" i="9"/>
  <c r="L183" i="9" s="1"/>
  <c r="O183" i="9" s="1"/>
  <c r="J183" i="9"/>
  <c r="M183" i="9" s="1"/>
  <c r="P183" i="9" s="1"/>
  <c r="J75" i="9"/>
  <c r="M75" i="9" s="1"/>
  <c r="P75" i="9" s="1"/>
  <c r="I75" i="9"/>
  <c r="L75" i="9" s="1"/>
  <c r="O75" i="9" s="1"/>
  <c r="J68" i="9"/>
  <c r="M68" i="9" s="1"/>
  <c r="P68" i="9" s="1"/>
  <c r="I68" i="9"/>
  <c r="L68" i="9" s="1"/>
  <c r="O68" i="9" s="1"/>
  <c r="J234" i="9"/>
  <c r="M234" i="9" s="1"/>
  <c r="P234" i="9" s="1"/>
  <c r="I234" i="9"/>
  <c r="L234" i="9" s="1"/>
  <c r="O234" i="9" s="1"/>
  <c r="I215" i="9"/>
  <c r="L215" i="9" s="1"/>
  <c r="O215" i="9" s="1"/>
  <c r="J215" i="9"/>
  <c r="M215" i="9" s="1"/>
  <c r="P215" i="9" s="1"/>
  <c r="J181" i="9"/>
  <c r="M181" i="9" s="1"/>
  <c r="P181" i="9" s="1"/>
  <c r="I181" i="9"/>
  <c r="L181" i="9" s="1"/>
  <c r="O181" i="9" s="1"/>
  <c r="I29" i="9"/>
  <c r="L29" i="9" s="1"/>
  <c r="O29" i="9" s="1"/>
  <c r="J29" i="9"/>
  <c r="M29" i="9" s="1"/>
  <c r="P29" i="9" s="1"/>
  <c r="I124" i="9"/>
  <c r="L124" i="9" s="1"/>
  <c r="O124" i="9" s="1"/>
  <c r="J124" i="9"/>
  <c r="M124" i="9" s="1"/>
  <c r="P124" i="9" s="1"/>
  <c r="J100" i="9"/>
  <c r="M100" i="9" s="1"/>
  <c r="P100" i="9" s="1"/>
  <c r="I100" i="9"/>
  <c r="L100" i="9" s="1"/>
  <c r="O100" i="9" s="1"/>
  <c r="I66" i="9"/>
  <c r="L66" i="9" s="1"/>
  <c r="O66" i="9" s="1"/>
  <c r="J66" i="9"/>
  <c r="M66" i="9" s="1"/>
  <c r="P66" i="9" s="1"/>
  <c r="I150" i="9"/>
  <c r="L150" i="9" s="1"/>
  <c r="O150" i="9" s="1"/>
  <c r="J150" i="9"/>
  <c r="M150" i="9" s="1"/>
  <c r="P150" i="9" s="1"/>
  <c r="J222" i="9"/>
  <c r="M222" i="9" s="1"/>
  <c r="P222" i="9" s="1"/>
  <c r="I222" i="9"/>
  <c r="L222" i="9" s="1"/>
  <c r="O222" i="9" s="1"/>
  <c r="I89" i="9"/>
  <c r="L89" i="9" s="1"/>
  <c r="O89" i="9" s="1"/>
  <c r="J89" i="9"/>
  <c r="M89" i="9" s="1"/>
  <c r="P89" i="9" s="1"/>
  <c r="I155" i="9"/>
  <c r="L155" i="9" s="1"/>
  <c r="O155" i="9" s="1"/>
  <c r="J155" i="9"/>
  <c r="M155" i="9" s="1"/>
  <c r="P155" i="9" s="1"/>
  <c r="J9" i="9"/>
  <c r="M9" i="9" s="1"/>
  <c r="P9" i="9" s="1"/>
  <c r="I9" i="9"/>
  <c r="L9" i="9" s="1"/>
  <c r="O9" i="9" s="1"/>
  <c r="I49" i="9"/>
  <c r="L49" i="9" s="1"/>
  <c r="O49" i="9" s="1"/>
  <c r="J49" i="9"/>
  <c r="M49" i="9" s="1"/>
  <c r="P49" i="9" s="1"/>
  <c r="I201" i="9"/>
  <c r="L201" i="9" s="1"/>
  <c r="O201" i="9" s="1"/>
  <c r="J201" i="9"/>
  <c r="M201" i="9" s="1"/>
  <c r="P201" i="9" s="1"/>
  <c r="J48" i="9"/>
  <c r="M48" i="9" s="1"/>
  <c r="P48" i="9" s="1"/>
  <c r="I48" i="9"/>
  <c r="L48" i="9" s="1"/>
  <c r="O48" i="9" s="1"/>
  <c r="I126" i="9"/>
  <c r="L126" i="9" s="1"/>
  <c r="O126" i="9" s="1"/>
  <c r="J126" i="9"/>
  <c r="M126" i="9" s="1"/>
  <c r="P126" i="9" s="1"/>
  <c r="J187" i="9"/>
  <c r="M187" i="9" s="1"/>
  <c r="P187" i="9" s="1"/>
  <c r="I187" i="9"/>
  <c r="L187" i="9" s="1"/>
  <c r="O187" i="9" s="1"/>
  <c r="J91" i="9"/>
  <c r="M91" i="9" s="1"/>
  <c r="P91" i="9" s="1"/>
  <c r="I91" i="9"/>
  <c r="L91" i="9" s="1"/>
  <c r="O91" i="9" s="1"/>
  <c r="I114" i="9"/>
  <c r="L114" i="9" s="1"/>
  <c r="O114" i="9" s="1"/>
  <c r="J114" i="9"/>
  <c r="M114" i="9" s="1"/>
  <c r="P114" i="9" s="1"/>
  <c r="I204" i="9"/>
  <c r="L204" i="9" s="1"/>
  <c r="O204" i="9" s="1"/>
  <c r="J204" i="9"/>
  <c r="M204" i="9" s="1"/>
  <c r="P204" i="9" s="1"/>
  <c r="I7" i="9"/>
  <c r="L7" i="9" s="1"/>
  <c r="O7" i="9" s="1"/>
  <c r="J7" i="9"/>
  <c r="M7" i="9" s="1"/>
  <c r="P7" i="9" s="1"/>
  <c r="I253" i="9"/>
  <c r="L253" i="9" s="1"/>
  <c r="O253" i="9" s="1"/>
  <c r="J253" i="9"/>
  <c r="M253" i="9" s="1"/>
  <c r="P253" i="9" s="1"/>
  <c r="I246" i="9"/>
  <c r="L246" i="9" s="1"/>
  <c r="O246" i="9" s="1"/>
  <c r="J246" i="9"/>
  <c r="M246" i="9" s="1"/>
  <c r="P246" i="9" s="1"/>
  <c r="J182" i="9"/>
  <c r="M182" i="9" s="1"/>
  <c r="P182" i="9" s="1"/>
  <c r="I182" i="9"/>
  <c r="L182" i="9" s="1"/>
  <c r="O182" i="9" s="1"/>
  <c r="J109" i="9"/>
  <c r="M109" i="9" s="1"/>
  <c r="P109" i="9" s="1"/>
  <c r="I109" i="9"/>
  <c r="L109" i="9" s="1"/>
  <c r="O109" i="9" s="1"/>
  <c r="J16" i="9"/>
  <c r="M16" i="9" s="1"/>
  <c r="P16" i="9" s="1"/>
  <c r="I16" i="9"/>
  <c r="L16" i="9" s="1"/>
  <c r="O16" i="9" s="1"/>
  <c r="I232" i="9"/>
  <c r="L232" i="9" s="1"/>
  <c r="O232" i="9" s="1"/>
  <c r="J232" i="9"/>
  <c r="M232" i="9" s="1"/>
  <c r="P232" i="9" s="1"/>
  <c r="J83" i="9"/>
  <c r="M83" i="9" s="1"/>
  <c r="P83" i="9" s="1"/>
  <c r="I83" i="9"/>
  <c r="L83" i="9" s="1"/>
  <c r="O83" i="9" s="1"/>
  <c r="I184" i="9"/>
  <c r="L184" i="9" s="1"/>
  <c r="O184" i="9" s="1"/>
  <c r="J184" i="9"/>
  <c r="M184" i="9" s="1"/>
  <c r="P184" i="9" s="1"/>
  <c r="R5" i="9" a="1"/>
  <c r="S5" i="9" l="1"/>
  <c r="R6" i="9"/>
  <c r="R5" i="9"/>
  <c r="S6" i="9"/>
</calcChain>
</file>

<file path=xl/sharedStrings.xml><?xml version="1.0" encoding="utf-8"?>
<sst xmlns="http://schemas.openxmlformats.org/spreadsheetml/2006/main" count="34" uniqueCount="13">
  <si>
    <t>Mu</t>
  </si>
  <si>
    <t>Vol</t>
  </si>
  <si>
    <t>Corrélations</t>
  </si>
  <si>
    <t>Cholesky</t>
  </si>
  <si>
    <t>Aléas gaussiens non corrélés</t>
  </si>
  <si>
    <t>Aléas gaussiens corrélés</t>
  </si>
  <si>
    <t>Rentabilités simulées</t>
  </si>
  <si>
    <t>Copule gaussienne</t>
  </si>
  <si>
    <t>N1 (0,1)</t>
  </si>
  <si>
    <t>N2 (0,1)</t>
  </si>
  <si>
    <t>Indice 1</t>
  </si>
  <si>
    <t>Indice 2</t>
  </si>
  <si>
    <t>Echantillon de rentabilités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</si>
</sst>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2" fontId="0" fillId="0" borderId="7" xfId="1" applyNumberFormat="1" applyFont="1" applyBorder="1" applyAlignment="1">
      <alignment horizontal="center"/>
    </xf>
    <xf numFmtId="2" fontId="0" fillId="0" borderId="8" xfId="1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3" xfId="0" applyFont="1" applyBorder="1"/>
    <xf numFmtId="0" fontId="2" fillId="0" borderId="4" xfId="0" applyFont="1" applyBorder="1"/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Border="1"/>
    <xf numFmtId="2" fontId="2" fillId="0" borderId="5" xfId="1" applyNumberFormat="1" applyFont="1" applyBorder="1" applyAlignment="1">
      <alignment horizontal="center"/>
    </xf>
    <xf numFmtId="2" fontId="2" fillId="0" borderId="6" xfId="1" applyNumberFormat="1" applyFont="1" applyBorder="1" applyAlignment="1">
      <alignment horizontal="center"/>
    </xf>
    <xf numFmtId="2" fontId="2" fillId="0" borderId="7" xfId="1" applyNumberFormat="1" applyFont="1" applyBorder="1" applyAlignment="1">
      <alignment horizontal="center"/>
    </xf>
    <xf numFmtId="2" fontId="2" fillId="0" borderId="8" xfId="1" applyNumberFormat="1" applyFont="1" applyBorder="1" applyAlignment="1">
      <alignment horizontal="center"/>
    </xf>
    <xf numFmtId="10" fontId="2" fillId="0" borderId="6" xfId="0" applyNumberFormat="1" applyFont="1" applyBorder="1" applyAlignment="1">
      <alignment horizontal="center"/>
    </xf>
    <xf numFmtId="10" fontId="2" fillId="0" borderId="8" xfId="0" applyNumberFormat="1" applyFont="1" applyBorder="1" applyAlignment="1">
      <alignment horizontal="center"/>
    </xf>
    <xf numFmtId="0" fontId="2" fillId="0" borderId="0" xfId="0" applyFont="1" applyBorder="1"/>
    <xf numFmtId="10" fontId="2" fillId="0" borderId="5" xfId="0" applyNumberFormat="1" applyFont="1" applyBorder="1" applyAlignment="1">
      <alignment horizontal="center"/>
    </xf>
    <xf numFmtId="10" fontId="2" fillId="0" borderId="7" xfId="0" applyNumberFormat="1" applyFont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590392613950281E-2"/>
          <c:y val="4.9108660862718034E-2"/>
          <c:w val="0.89093631890031166"/>
          <c:h val="0.866098200669754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  <a:prstDash val="solid"/>
              </a:ln>
            </c:spPr>
          </c:marker>
          <c:xVal>
            <c:numRef>
              <c:f>'Copule Gaussienne'!$L$3:$L$5045</c:f>
              <c:numCache>
                <c:formatCode>0.00</c:formatCode>
                <c:ptCount val="5043"/>
                <c:pt idx="0">
                  <c:v>0.11631315000161903</c:v>
                </c:pt>
                <c:pt idx="1">
                  <c:v>0.91731469865065429</c:v>
                </c:pt>
                <c:pt idx="2">
                  <c:v>0.88632963344381299</c:v>
                </c:pt>
                <c:pt idx="3">
                  <c:v>0.7758605823987883</c:v>
                </c:pt>
                <c:pt idx="4">
                  <c:v>0.92956268900543038</c:v>
                </c:pt>
                <c:pt idx="5">
                  <c:v>0.142218278742517</c:v>
                </c:pt>
                <c:pt idx="6">
                  <c:v>0.85502569990304567</c:v>
                </c:pt>
                <c:pt idx="7">
                  <c:v>0.86006683377434501</c:v>
                </c:pt>
                <c:pt idx="8">
                  <c:v>4.410321297182089E-2</c:v>
                </c:pt>
                <c:pt idx="9">
                  <c:v>0.56673685311904676</c:v>
                </c:pt>
                <c:pt idx="10">
                  <c:v>0.89512735506596797</c:v>
                </c:pt>
                <c:pt idx="11">
                  <c:v>0.36108962257694743</c:v>
                </c:pt>
                <c:pt idx="12">
                  <c:v>0.15036063939587027</c:v>
                </c:pt>
                <c:pt idx="13">
                  <c:v>0.1368094571531405</c:v>
                </c:pt>
                <c:pt idx="14">
                  <c:v>0.19067794869303159</c:v>
                </c:pt>
                <c:pt idx="15">
                  <c:v>0.56223348689423447</c:v>
                </c:pt>
                <c:pt idx="16">
                  <c:v>0.70036520446471195</c:v>
                </c:pt>
                <c:pt idx="17">
                  <c:v>0.36181615024786973</c:v>
                </c:pt>
                <c:pt idx="18">
                  <c:v>0.26765045971389506</c:v>
                </c:pt>
                <c:pt idx="19">
                  <c:v>0.42220532872660793</c:v>
                </c:pt>
                <c:pt idx="20">
                  <c:v>0.54680746361585597</c:v>
                </c:pt>
                <c:pt idx="21">
                  <c:v>8.8045452509329047E-2</c:v>
                </c:pt>
                <c:pt idx="22">
                  <c:v>0.40480232212964168</c:v>
                </c:pt>
                <c:pt idx="23">
                  <c:v>0.91307553612643311</c:v>
                </c:pt>
                <c:pt idx="24">
                  <c:v>0.18054996048629446</c:v>
                </c:pt>
                <c:pt idx="25">
                  <c:v>2.838488300722012E-2</c:v>
                </c:pt>
                <c:pt idx="26">
                  <c:v>0.86301687044526121</c:v>
                </c:pt>
                <c:pt idx="27">
                  <c:v>0.849438538026138</c:v>
                </c:pt>
                <c:pt idx="28">
                  <c:v>0.68007512784247948</c:v>
                </c:pt>
                <c:pt idx="29">
                  <c:v>0.75111288269976284</c:v>
                </c:pt>
                <c:pt idx="30">
                  <c:v>0.46076391274250816</c:v>
                </c:pt>
                <c:pt idx="31">
                  <c:v>0.92918982849649534</c:v>
                </c:pt>
                <c:pt idx="32">
                  <c:v>0.19699618338904423</c:v>
                </c:pt>
                <c:pt idx="33">
                  <c:v>0.91196955612024277</c:v>
                </c:pt>
                <c:pt idx="34">
                  <c:v>0.64696468090744819</c:v>
                </c:pt>
                <c:pt idx="35">
                  <c:v>0.737069771714152</c:v>
                </c:pt>
                <c:pt idx="36">
                  <c:v>0.34128113864306908</c:v>
                </c:pt>
                <c:pt idx="37">
                  <c:v>0.62108616082760393</c:v>
                </c:pt>
                <c:pt idx="38">
                  <c:v>0.97631985770043228</c:v>
                </c:pt>
                <c:pt idx="39">
                  <c:v>0.33763434750946475</c:v>
                </c:pt>
                <c:pt idx="40">
                  <c:v>0.57773442531476737</c:v>
                </c:pt>
                <c:pt idx="41">
                  <c:v>0.58396575536595119</c:v>
                </c:pt>
                <c:pt idx="42">
                  <c:v>0.62518196074697374</c:v>
                </c:pt>
                <c:pt idx="43">
                  <c:v>0.25454019480219214</c:v>
                </c:pt>
                <c:pt idx="44">
                  <c:v>0.75149716432027647</c:v>
                </c:pt>
                <c:pt idx="45">
                  <c:v>0.12174153648755751</c:v>
                </c:pt>
                <c:pt idx="46">
                  <c:v>0.454940997105166</c:v>
                </c:pt>
                <c:pt idx="47">
                  <c:v>0.93166974936869273</c:v>
                </c:pt>
                <c:pt idx="48">
                  <c:v>0.14833333482951719</c:v>
                </c:pt>
                <c:pt idx="49">
                  <c:v>0.62608845594099705</c:v>
                </c:pt>
                <c:pt idx="50">
                  <c:v>0.64836674303922215</c:v>
                </c:pt>
                <c:pt idx="51">
                  <c:v>5.6550974629228153E-2</c:v>
                </c:pt>
                <c:pt idx="52">
                  <c:v>0.41629929407664129</c:v>
                </c:pt>
                <c:pt idx="53">
                  <c:v>0.56961045733958549</c:v>
                </c:pt>
                <c:pt idx="54">
                  <c:v>0.93934391334153078</c:v>
                </c:pt>
                <c:pt idx="55">
                  <c:v>0.12109488544380791</c:v>
                </c:pt>
                <c:pt idx="56">
                  <c:v>0.59194488751780105</c:v>
                </c:pt>
                <c:pt idx="57">
                  <c:v>0.64613842519313947</c:v>
                </c:pt>
                <c:pt idx="58">
                  <c:v>0.34856945958992258</c:v>
                </c:pt>
                <c:pt idx="59">
                  <c:v>1.569615372727881E-3</c:v>
                </c:pt>
                <c:pt idx="60">
                  <c:v>0.89208673445943976</c:v>
                </c:pt>
                <c:pt idx="61">
                  <c:v>0.20949298533837343</c:v>
                </c:pt>
                <c:pt idx="62">
                  <c:v>0.40701654733105508</c:v>
                </c:pt>
                <c:pt idx="63">
                  <c:v>0.24005494711306719</c:v>
                </c:pt>
                <c:pt idx="64">
                  <c:v>0.15062440923441273</c:v>
                </c:pt>
                <c:pt idx="65">
                  <c:v>0.15523861758931287</c:v>
                </c:pt>
                <c:pt idx="66">
                  <c:v>0.50860408544284974</c:v>
                </c:pt>
                <c:pt idx="67">
                  <c:v>0.58473303326822323</c:v>
                </c:pt>
                <c:pt idx="68">
                  <c:v>0.80222490038122396</c:v>
                </c:pt>
                <c:pt idx="69">
                  <c:v>0.9762857442198668</c:v>
                </c:pt>
                <c:pt idx="70">
                  <c:v>0.26373822649487166</c:v>
                </c:pt>
                <c:pt idx="71">
                  <c:v>0.48314956228821443</c:v>
                </c:pt>
                <c:pt idx="72">
                  <c:v>6.4836275686034631E-2</c:v>
                </c:pt>
                <c:pt idx="73">
                  <c:v>0.92457579637200671</c:v>
                </c:pt>
                <c:pt idx="74">
                  <c:v>1.4160182063589075E-2</c:v>
                </c:pt>
                <c:pt idx="75">
                  <c:v>0.52587910492727963</c:v>
                </c:pt>
                <c:pt idx="76">
                  <c:v>0.8244893843809461</c:v>
                </c:pt>
                <c:pt idx="77">
                  <c:v>0.4246548564775991</c:v>
                </c:pt>
                <c:pt idx="78">
                  <c:v>6.4175307938697551E-2</c:v>
                </c:pt>
                <c:pt idx="79">
                  <c:v>0.16014800981546037</c:v>
                </c:pt>
                <c:pt idx="80">
                  <c:v>0.36543987778394527</c:v>
                </c:pt>
                <c:pt idx="81">
                  <c:v>0.99360035742234565</c:v>
                </c:pt>
                <c:pt idx="82">
                  <c:v>0.63846199018285854</c:v>
                </c:pt>
                <c:pt idx="83">
                  <c:v>0.38177219800073803</c:v>
                </c:pt>
                <c:pt idx="84">
                  <c:v>0.92730098693342411</c:v>
                </c:pt>
                <c:pt idx="85">
                  <c:v>6.7966358893446918E-2</c:v>
                </c:pt>
                <c:pt idx="86">
                  <c:v>0.83311081391107455</c:v>
                </c:pt>
                <c:pt idx="87">
                  <c:v>0.52126908700300989</c:v>
                </c:pt>
                <c:pt idx="88">
                  <c:v>0.17018042216059454</c:v>
                </c:pt>
                <c:pt idx="89">
                  <c:v>0.14174970947396931</c:v>
                </c:pt>
                <c:pt idx="90">
                  <c:v>0.21180222368013377</c:v>
                </c:pt>
                <c:pt idx="91">
                  <c:v>0.52427657342039979</c:v>
                </c:pt>
                <c:pt idx="92">
                  <c:v>0.84120611964957448</c:v>
                </c:pt>
                <c:pt idx="93">
                  <c:v>0.29860122473401174</c:v>
                </c:pt>
                <c:pt idx="94">
                  <c:v>0.95472156697787591</c:v>
                </c:pt>
                <c:pt idx="95">
                  <c:v>0.21370832303011542</c:v>
                </c:pt>
                <c:pt idx="96">
                  <c:v>0.56099006807733942</c:v>
                </c:pt>
                <c:pt idx="97">
                  <c:v>0.23688766445087589</c:v>
                </c:pt>
                <c:pt idx="98">
                  <c:v>0.49454024541994557</c:v>
                </c:pt>
                <c:pt idx="99">
                  <c:v>0.61148028656081799</c:v>
                </c:pt>
                <c:pt idx="100">
                  <c:v>5.2176596096716918E-2</c:v>
                </c:pt>
                <c:pt idx="101">
                  <c:v>0.19210142971115404</c:v>
                </c:pt>
                <c:pt idx="102">
                  <c:v>0.23660450695415886</c:v>
                </c:pt>
                <c:pt idx="103">
                  <c:v>0.22916573849417485</c:v>
                </c:pt>
                <c:pt idx="104">
                  <c:v>0.71434188753945327</c:v>
                </c:pt>
                <c:pt idx="105">
                  <c:v>0.90252973040063522</c:v>
                </c:pt>
                <c:pt idx="106">
                  <c:v>0.3874068563552665</c:v>
                </c:pt>
                <c:pt idx="107">
                  <c:v>0.80031783381338517</c:v>
                </c:pt>
                <c:pt idx="108">
                  <c:v>0.85208766339188013</c:v>
                </c:pt>
                <c:pt idx="109">
                  <c:v>0.60365260504008011</c:v>
                </c:pt>
                <c:pt idx="110">
                  <c:v>0.69926616506907713</c:v>
                </c:pt>
                <c:pt idx="111">
                  <c:v>0.79132360497864185</c:v>
                </c:pt>
                <c:pt idx="112">
                  <c:v>0.3466086949032266</c:v>
                </c:pt>
                <c:pt idx="113">
                  <c:v>1.6148084131723441E-2</c:v>
                </c:pt>
                <c:pt idx="114">
                  <c:v>0.23620946844052973</c:v>
                </c:pt>
                <c:pt idx="115">
                  <c:v>0.40823266379848522</c:v>
                </c:pt>
                <c:pt idx="116">
                  <c:v>0.5780339219918067</c:v>
                </c:pt>
                <c:pt idx="117">
                  <c:v>0.94242605754793451</c:v>
                </c:pt>
                <c:pt idx="118">
                  <c:v>0.30207711837592882</c:v>
                </c:pt>
                <c:pt idx="119">
                  <c:v>0.33742605531531361</c:v>
                </c:pt>
                <c:pt idx="120">
                  <c:v>0.92777087159820903</c:v>
                </c:pt>
                <c:pt idx="121">
                  <c:v>0.33342993387105085</c:v>
                </c:pt>
                <c:pt idx="122">
                  <c:v>0.99493095225911798</c:v>
                </c:pt>
                <c:pt idx="123">
                  <c:v>0.71038534957799049</c:v>
                </c:pt>
                <c:pt idx="124">
                  <c:v>0.98906009207137346</c:v>
                </c:pt>
                <c:pt idx="125">
                  <c:v>0.40418709220978349</c:v>
                </c:pt>
                <c:pt idx="126">
                  <c:v>0.66366065726749524</c:v>
                </c:pt>
                <c:pt idx="127">
                  <c:v>0.62464336676823806</c:v>
                </c:pt>
                <c:pt idx="128">
                  <c:v>0.51163327536406</c:v>
                </c:pt>
                <c:pt idx="129">
                  <c:v>0.67519050512281886</c:v>
                </c:pt>
                <c:pt idx="130">
                  <c:v>0.32465911606353892</c:v>
                </c:pt>
                <c:pt idx="131">
                  <c:v>0.62914595197668133</c:v>
                </c:pt>
                <c:pt idx="132">
                  <c:v>0.99470196443906678</c:v>
                </c:pt>
                <c:pt idx="133">
                  <c:v>3.6268161305943993E-2</c:v>
                </c:pt>
                <c:pt idx="134">
                  <c:v>0.82629361533863221</c:v>
                </c:pt>
                <c:pt idx="135">
                  <c:v>0.24929723108754376</c:v>
                </c:pt>
                <c:pt idx="136">
                  <c:v>0.59812202928789271</c:v>
                </c:pt>
                <c:pt idx="137">
                  <c:v>0.10391123630914634</c:v>
                </c:pt>
                <c:pt idx="138">
                  <c:v>0.60809901751663797</c:v>
                </c:pt>
                <c:pt idx="139">
                  <c:v>0.10605880032179457</c:v>
                </c:pt>
                <c:pt idx="140">
                  <c:v>0.86789151648165019</c:v>
                </c:pt>
                <c:pt idx="141">
                  <c:v>0.11747890945253095</c:v>
                </c:pt>
                <c:pt idx="142">
                  <c:v>0.40935712918176165</c:v>
                </c:pt>
                <c:pt idx="143">
                  <c:v>0.90000871317573861</c:v>
                </c:pt>
                <c:pt idx="144">
                  <c:v>0.97839275992538233</c:v>
                </c:pt>
                <c:pt idx="145">
                  <c:v>0.53109232846527066</c:v>
                </c:pt>
                <c:pt idx="146">
                  <c:v>0.70563051623264172</c:v>
                </c:pt>
                <c:pt idx="147">
                  <c:v>0.89752148217745642</c:v>
                </c:pt>
                <c:pt idx="148">
                  <c:v>0.32999645998939187</c:v>
                </c:pt>
                <c:pt idx="149">
                  <c:v>0.57529892954530082</c:v>
                </c:pt>
                <c:pt idx="150">
                  <c:v>0.30818298798846322</c:v>
                </c:pt>
                <c:pt idx="151">
                  <c:v>0.17719353968105009</c:v>
                </c:pt>
                <c:pt idx="152">
                  <c:v>0.855017381915681</c:v>
                </c:pt>
                <c:pt idx="153">
                  <c:v>3.8868906068884705E-2</c:v>
                </c:pt>
                <c:pt idx="154">
                  <c:v>7.9971938708840062E-2</c:v>
                </c:pt>
                <c:pt idx="155">
                  <c:v>0.10097582518234491</c:v>
                </c:pt>
                <c:pt idx="156">
                  <c:v>0.8937933423635066</c:v>
                </c:pt>
                <c:pt idx="157">
                  <c:v>0.69072776698467808</c:v>
                </c:pt>
                <c:pt idx="158">
                  <c:v>0.40339418167898927</c:v>
                </c:pt>
                <c:pt idx="159">
                  <c:v>0.71988656147254293</c:v>
                </c:pt>
                <c:pt idx="160">
                  <c:v>0.82383449257154939</c:v>
                </c:pt>
                <c:pt idx="161">
                  <c:v>9.2790127191672539E-2</c:v>
                </c:pt>
                <c:pt idx="162">
                  <c:v>9.922439506412746E-2</c:v>
                </c:pt>
                <c:pt idx="163">
                  <c:v>0.70889468284091073</c:v>
                </c:pt>
                <c:pt idx="164">
                  <c:v>0.99499952244017298</c:v>
                </c:pt>
                <c:pt idx="165">
                  <c:v>0.33708482830748165</c:v>
                </c:pt>
                <c:pt idx="166">
                  <c:v>0.37269225808057033</c:v>
                </c:pt>
                <c:pt idx="167">
                  <c:v>0.1249210761093576</c:v>
                </c:pt>
                <c:pt idx="168">
                  <c:v>0.27138478291968671</c:v>
                </c:pt>
                <c:pt idx="169">
                  <c:v>0.79570456994838201</c:v>
                </c:pt>
                <c:pt idx="170">
                  <c:v>0.37615260019074326</c:v>
                </c:pt>
                <c:pt idx="171">
                  <c:v>0.6165196831815476</c:v>
                </c:pt>
                <c:pt idx="172">
                  <c:v>0.46834844868333719</c:v>
                </c:pt>
                <c:pt idx="173">
                  <c:v>0.17038772807162059</c:v>
                </c:pt>
                <c:pt idx="174">
                  <c:v>0.70184170747354369</c:v>
                </c:pt>
                <c:pt idx="175">
                  <c:v>0.9358717636162005</c:v>
                </c:pt>
                <c:pt idx="176">
                  <c:v>0.30863360037255771</c:v>
                </c:pt>
                <c:pt idx="177">
                  <c:v>0.23648057686608279</c:v>
                </c:pt>
                <c:pt idx="178">
                  <c:v>0.4102584816873116</c:v>
                </c:pt>
                <c:pt idx="179">
                  <c:v>0.33201292709413543</c:v>
                </c:pt>
                <c:pt idx="180">
                  <c:v>0.27947544395080703</c:v>
                </c:pt>
                <c:pt idx="181">
                  <c:v>0.80333556028333797</c:v>
                </c:pt>
                <c:pt idx="182">
                  <c:v>0.49409719345206377</c:v>
                </c:pt>
                <c:pt idx="183">
                  <c:v>0.20577487876873568</c:v>
                </c:pt>
                <c:pt idx="184">
                  <c:v>0.4898001852233102</c:v>
                </c:pt>
                <c:pt idx="185">
                  <c:v>6.0568492534035852E-2</c:v>
                </c:pt>
                <c:pt idx="186">
                  <c:v>0.73793088458994038</c:v>
                </c:pt>
                <c:pt idx="187">
                  <c:v>0.63370230083548096</c:v>
                </c:pt>
                <c:pt idx="188">
                  <c:v>0.82749048815124771</c:v>
                </c:pt>
                <c:pt idx="189">
                  <c:v>0.73760959536642756</c:v>
                </c:pt>
                <c:pt idx="190">
                  <c:v>6.0005449434721138E-3</c:v>
                </c:pt>
                <c:pt idx="191">
                  <c:v>0.80231753797313532</c:v>
                </c:pt>
                <c:pt idx="192">
                  <c:v>0.53535847732126207</c:v>
                </c:pt>
                <c:pt idx="193">
                  <c:v>0.23454484624911523</c:v>
                </c:pt>
                <c:pt idx="194">
                  <c:v>0.88971293596689205</c:v>
                </c:pt>
                <c:pt idx="195">
                  <c:v>0.3980262001909658</c:v>
                </c:pt>
                <c:pt idx="196">
                  <c:v>0.27524023119160035</c:v>
                </c:pt>
                <c:pt idx="197">
                  <c:v>0.24505762088879435</c:v>
                </c:pt>
                <c:pt idx="198">
                  <c:v>0.82391618324626714</c:v>
                </c:pt>
                <c:pt idx="199">
                  <c:v>0.58363934448713373</c:v>
                </c:pt>
                <c:pt idx="200">
                  <c:v>0.72237895659492124</c:v>
                </c:pt>
                <c:pt idx="201">
                  <c:v>0.84724872180154087</c:v>
                </c:pt>
                <c:pt idx="202">
                  <c:v>0.36796156609582625</c:v>
                </c:pt>
                <c:pt idx="203">
                  <c:v>0.24843172520048418</c:v>
                </c:pt>
                <c:pt idx="204">
                  <c:v>0.2448707449208819</c:v>
                </c:pt>
                <c:pt idx="205">
                  <c:v>0.66298927399087515</c:v>
                </c:pt>
                <c:pt idx="206">
                  <c:v>0.80268789650977523</c:v>
                </c:pt>
                <c:pt idx="207">
                  <c:v>0.69567516117873596</c:v>
                </c:pt>
                <c:pt idx="208">
                  <c:v>0.13099822252632592</c:v>
                </c:pt>
                <c:pt idx="209">
                  <c:v>0.30409035354590885</c:v>
                </c:pt>
                <c:pt idx="210">
                  <c:v>0.41911290107397392</c:v>
                </c:pt>
                <c:pt idx="211">
                  <c:v>0.57327353581725871</c:v>
                </c:pt>
                <c:pt idx="212">
                  <c:v>0.62919893723742781</c:v>
                </c:pt>
                <c:pt idx="213">
                  <c:v>0.63922103851353496</c:v>
                </c:pt>
                <c:pt idx="214">
                  <c:v>0.55959165742044448</c:v>
                </c:pt>
                <c:pt idx="215">
                  <c:v>0.57156567415605897</c:v>
                </c:pt>
                <c:pt idx="216">
                  <c:v>0.49017306836559005</c:v>
                </c:pt>
                <c:pt idx="217">
                  <c:v>0.51351434727947887</c:v>
                </c:pt>
                <c:pt idx="218">
                  <c:v>0.72386234549545292</c:v>
                </c:pt>
                <c:pt idx="219">
                  <c:v>0.63889487632729547</c:v>
                </c:pt>
                <c:pt idx="220">
                  <c:v>3.9833669978302642E-2</c:v>
                </c:pt>
                <c:pt idx="221">
                  <c:v>0.11447329908949282</c:v>
                </c:pt>
                <c:pt idx="222">
                  <c:v>0.69317698055644228</c:v>
                </c:pt>
                <c:pt idx="223">
                  <c:v>0.35237102894505462</c:v>
                </c:pt>
                <c:pt idx="224">
                  <c:v>0.16066504671024054</c:v>
                </c:pt>
                <c:pt idx="225">
                  <c:v>0.12948998360995856</c:v>
                </c:pt>
                <c:pt idx="226">
                  <c:v>0.39808818313715966</c:v>
                </c:pt>
                <c:pt idx="227">
                  <c:v>0.50887767248006099</c:v>
                </c:pt>
                <c:pt idx="228">
                  <c:v>0.44463945270237204</c:v>
                </c:pt>
                <c:pt idx="229">
                  <c:v>0.15350697538589972</c:v>
                </c:pt>
                <c:pt idx="230">
                  <c:v>0.34151031998904813</c:v>
                </c:pt>
                <c:pt idx="231">
                  <c:v>6.1399381871845383E-2</c:v>
                </c:pt>
                <c:pt idx="232">
                  <c:v>0.95511917382675815</c:v>
                </c:pt>
                <c:pt idx="233">
                  <c:v>0.5525847236623469</c:v>
                </c:pt>
                <c:pt idx="234">
                  <c:v>8.0093628402267858E-2</c:v>
                </c:pt>
                <c:pt idx="235">
                  <c:v>0.53999290495436414</c:v>
                </c:pt>
                <c:pt idx="236">
                  <c:v>4.4523944806582109E-2</c:v>
                </c:pt>
                <c:pt idx="237">
                  <c:v>0.81063270490201744</c:v>
                </c:pt>
                <c:pt idx="238">
                  <c:v>0.20728991462824764</c:v>
                </c:pt>
                <c:pt idx="239">
                  <c:v>0.34315546713199746</c:v>
                </c:pt>
                <c:pt idx="240">
                  <c:v>0.18841204813617926</c:v>
                </c:pt>
                <c:pt idx="241">
                  <c:v>0.9089279638172918</c:v>
                </c:pt>
                <c:pt idx="242">
                  <c:v>0.69174827851225706</c:v>
                </c:pt>
                <c:pt idx="243">
                  <c:v>0.86720915620440098</c:v>
                </c:pt>
                <c:pt idx="244">
                  <c:v>0.87880075239632527</c:v>
                </c:pt>
                <c:pt idx="245">
                  <c:v>0.69540323398651394</c:v>
                </c:pt>
                <c:pt idx="246">
                  <c:v>0.83456079945498929</c:v>
                </c:pt>
                <c:pt idx="247">
                  <c:v>0.66445887249686242</c:v>
                </c:pt>
                <c:pt idx="248">
                  <c:v>1.8160143148912847E-2</c:v>
                </c:pt>
                <c:pt idx="249">
                  <c:v>0.55525566537774762</c:v>
                </c:pt>
                <c:pt idx="250">
                  <c:v>0.85470123403202991</c:v>
                </c:pt>
                <c:pt idx="251">
                  <c:v>0.576354598637705</c:v>
                </c:pt>
                <c:pt idx="252">
                  <c:v>0.58269355276022572</c:v>
                </c:pt>
                <c:pt idx="253">
                  <c:v>0.56816990196657247</c:v>
                </c:pt>
                <c:pt idx="254">
                  <c:v>0.86101649479900066</c:v>
                </c:pt>
                <c:pt idx="255">
                  <c:v>0.47947330694195617</c:v>
                </c:pt>
                <c:pt idx="256">
                  <c:v>0.45945270173907493</c:v>
                </c:pt>
                <c:pt idx="257">
                  <c:v>0.48795096962641532</c:v>
                </c:pt>
                <c:pt idx="258">
                  <c:v>0.2061151262774813</c:v>
                </c:pt>
                <c:pt idx="259">
                  <c:v>0.19553039860540095</c:v>
                </c:pt>
                <c:pt idx="260">
                  <c:v>0.83725734229258475</c:v>
                </c:pt>
              </c:numCache>
            </c:numRef>
          </c:xVal>
          <c:yVal>
            <c:numRef>
              <c:f>'Copule Gaussienne'!$M$3:$M$5045</c:f>
              <c:numCache>
                <c:formatCode>0.00</c:formatCode>
                <c:ptCount val="5043"/>
                <c:pt idx="0">
                  <c:v>0.72269859556960236</c:v>
                </c:pt>
                <c:pt idx="1">
                  <c:v>0.98506313954329516</c:v>
                </c:pt>
                <c:pt idx="2">
                  <c:v>0.96107700265927032</c:v>
                </c:pt>
                <c:pt idx="3">
                  <c:v>0.58906629148823531</c:v>
                </c:pt>
                <c:pt idx="4">
                  <c:v>0.54970017095500945</c:v>
                </c:pt>
                <c:pt idx="5">
                  <c:v>0.77311279353965079</c:v>
                </c:pt>
                <c:pt idx="6">
                  <c:v>0.40148591259860666</c:v>
                </c:pt>
                <c:pt idx="7">
                  <c:v>0.93814924754359086</c:v>
                </c:pt>
                <c:pt idx="8">
                  <c:v>0.4992240480767936</c:v>
                </c:pt>
                <c:pt idx="9">
                  <c:v>0.73191291955937854</c:v>
                </c:pt>
                <c:pt idx="10">
                  <c:v>0.58821686920058924</c:v>
                </c:pt>
                <c:pt idx="11">
                  <c:v>0.87864753977073407</c:v>
                </c:pt>
                <c:pt idx="12">
                  <c:v>0.38450784116620529</c:v>
                </c:pt>
                <c:pt idx="13">
                  <c:v>0.50105907726460786</c:v>
                </c:pt>
                <c:pt idx="14">
                  <c:v>0.54417599677985551</c:v>
                </c:pt>
                <c:pt idx="15">
                  <c:v>9.5864828987032961E-3</c:v>
                </c:pt>
                <c:pt idx="16">
                  <c:v>0.9425060016849498</c:v>
                </c:pt>
                <c:pt idx="17">
                  <c:v>0.40293192799267863</c:v>
                </c:pt>
                <c:pt idx="18">
                  <c:v>0.21622627950404774</c:v>
                </c:pt>
                <c:pt idx="19">
                  <c:v>0.14465464339158188</c:v>
                </c:pt>
                <c:pt idx="20">
                  <c:v>0.88432394243398083</c:v>
                </c:pt>
                <c:pt idx="21">
                  <c:v>0.59423469816705721</c:v>
                </c:pt>
                <c:pt idx="22">
                  <c:v>0.17791953649196113</c:v>
                </c:pt>
                <c:pt idx="23">
                  <c:v>0.92766098419644327</c:v>
                </c:pt>
                <c:pt idx="24">
                  <c:v>0.1660332302027997</c:v>
                </c:pt>
                <c:pt idx="25">
                  <c:v>0.36492132878636674</c:v>
                </c:pt>
                <c:pt idx="26">
                  <c:v>0.53033399812102666</c:v>
                </c:pt>
                <c:pt idx="27">
                  <c:v>0.66084917947916699</c:v>
                </c:pt>
                <c:pt idx="28">
                  <c:v>0.92088548957012339</c:v>
                </c:pt>
                <c:pt idx="29">
                  <c:v>0.64069342534141249</c:v>
                </c:pt>
                <c:pt idx="30">
                  <c:v>0.14710809311836631</c:v>
                </c:pt>
                <c:pt idx="31">
                  <c:v>0.95724300466974332</c:v>
                </c:pt>
                <c:pt idx="32">
                  <c:v>0.54746809159129728</c:v>
                </c:pt>
                <c:pt idx="33">
                  <c:v>0.51860871187142221</c:v>
                </c:pt>
                <c:pt idx="34">
                  <c:v>0.54559622427762366</c:v>
                </c:pt>
                <c:pt idx="35">
                  <c:v>0.64473090483495699</c:v>
                </c:pt>
                <c:pt idx="36">
                  <c:v>0.3946559270673643</c:v>
                </c:pt>
                <c:pt idx="37">
                  <c:v>0.61405352390703705</c:v>
                </c:pt>
                <c:pt idx="38">
                  <c:v>0.84232736091739635</c:v>
                </c:pt>
                <c:pt idx="39">
                  <c:v>8.747831772419673E-2</c:v>
                </c:pt>
                <c:pt idx="40">
                  <c:v>6.6839432391993414E-2</c:v>
                </c:pt>
                <c:pt idx="41">
                  <c:v>0.13532701776271297</c:v>
                </c:pt>
                <c:pt idx="42">
                  <c:v>0.25192813738569086</c:v>
                </c:pt>
                <c:pt idx="43">
                  <c:v>0.79837422787898338</c:v>
                </c:pt>
                <c:pt idx="44">
                  <c:v>0.82546137390942254</c:v>
                </c:pt>
                <c:pt idx="45">
                  <c:v>5.065223007747293E-2</c:v>
                </c:pt>
                <c:pt idx="46">
                  <c:v>0.14653786884542039</c:v>
                </c:pt>
                <c:pt idx="47">
                  <c:v>0.70722360830312025</c:v>
                </c:pt>
                <c:pt idx="48">
                  <c:v>0.31148412733995579</c:v>
                </c:pt>
                <c:pt idx="49">
                  <c:v>0.78078858103401982</c:v>
                </c:pt>
                <c:pt idx="50">
                  <c:v>0.29884840278584035</c:v>
                </c:pt>
                <c:pt idx="51">
                  <c:v>1.5613713017264082E-2</c:v>
                </c:pt>
                <c:pt idx="52">
                  <c:v>0.6577890185021017</c:v>
                </c:pt>
                <c:pt idx="53">
                  <c:v>0.86295236755312998</c:v>
                </c:pt>
                <c:pt idx="54">
                  <c:v>0.66536861957548554</c:v>
                </c:pt>
                <c:pt idx="55">
                  <c:v>6.8649884574412526E-2</c:v>
                </c:pt>
                <c:pt idx="56">
                  <c:v>0.20458790380547021</c:v>
                </c:pt>
                <c:pt idx="57">
                  <c:v>0.20132104721152513</c:v>
                </c:pt>
                <c:pt idx="58">
                  <c:v>0.66462643210257688</c:v>
                </c:pt>
                <c:pt idx="59">
                  <c:v>0.38447851365239705</c:v>
                </c:pt>
                <c:pt idx="60">
                  <c:v>0.70779731596945306</c:v>
                </c:pt>
                <c:pt idx="61">
                  <c:v>0.61857302645843015</c:v>
                </c:pt>
                <c:pt idx="62">
                  <c:v>6.8332242186196893E-2</c:v>
                </c:pt>
                <c:pt idx="63">
                  <c:v>0.11646757246789317</c:v>
                </c:pt>
                <c:pt idx="64">
                  <c:v>9.8884221808010125E-2</c:v>
                </c:pt>
                <c:pt idx="65">
                  <c:v>0.72112938168721818</c:v>
                </c:pt>
                <c:pt idx="66">
                  <c:v>0.4791299646440707</c:v>
                </c:pt>
                <c:pt idx="67">
                  <c:v>9.862018277079726E-2</c:v>
                </c:pt>
                <c:pt idx="68">
                  <c:v>0.63749458393927882</c:v>
                </c:pt>
                <c:pt idx="69">
                  <c:v>4.6194814103803772E-2</c:v>
                </c:pt>
                <c:pt idx="70">
                  <c:v>0.52322202384687966</c:v>
                </c:pt>
                <c:pt idx="71">
                  <c:v>0.89675670345456671</c:v>
                </c:pt>
                <c:pt idx="72">
                  <c:v>0.16079747299989125</c:v>
                </c:pt>
                <c:pt idx="73">
                  <c:v>0.32341942427789677</c:v>
                </c:pt>
                <c:pt idx="74">
                  <c:v>0.12510448424482709</c:v>
                </c:pt>
                <c:pt idx="75">
                  <c:v>0.72051484987555059</c:v>
                </c:pt>
                <c:pt idx="76">
                  <c:v>0.20992958639519627</c:v>
                </c:pt>
                <c:pt idx="77">
                  <c:v>0.88412621494207433</c:v>
                </c:pt>
                <c:pt idx="78">
                  <c:v>3.7505911600516405E-3</c:v>
                </c:pt>
                <c:pt idx="79">
                  <c:v>0.33954186817470788</c:v>
                </c:pt>
                <c:pt idx="80">
                  <c:v>0.39024984156637466</c:v>
                </c:pt>
                <c:pt idx="81">
                  <c:v>0.97402846353212069</c:v>
                </c:pt>
                <c:pt idx="82">
                  <c:v>0.72970128578217963</c:v>
                </c:pt>
                <c:pt idx="83">
                  <c:v>0.46539598096854123</c:v>
                </c:pt>
                <c:pt idx="84">
                  <c:v>0.89202038821696727</c:v>
                </c:pt>
                <c:pt idx="85">
                  <c:v>0.11031115851438218</c:v>
                </c:pt>
                <c:pt idx="86">
                  <c:v>0.87388224996845343</c:v>
                </c:pt>
                <c:pt idx="87">
                  <c:v>0.36786304727501307</c:v>
                </c:pt>
                <c:pt idx="88">
                  <c:v>0.26390862830182887</c:v>
                </c:pt>
                <c:pt idx="89">
                  <c:v>8.308985495682172E-3</c:v>
                </c:pt>
                <c:pt idx="90">
                  <c:v>0.55515522929068328</c:v>
                </c:pt>
                <c:pt idx="91">
                  <c:v>0.86092331573258962</c:v>
                </c:pt>
                <c:pt idx="92">
                  <c:v>0.71027107993897831</c:v>
                </c:pt>
                <c:pt idx="93">
                  <c:v>0.38007803302448823</c:v>
                </c:pt>
                <c:pt idx="94">
                  <c:v>0.88942346455260912</c:v>
                </c:pt>
                <c:pt idx="95">
                  <c:v>0.76222728358730485</c:v>
                </c:pt>
                <c:pt idx="96">
                  <c:v>0.41216950264981911</c:v>
                </c:pt>
                <c:pt idx="97">
                  <c:v>0.17790436532499349</c:v>
                </c:pt>
                <c:pt idx="98">
                  <c:v>0.5854044165160075</c:v>
                </c:pt>
                <c:pt idx="99">
                  <c:v>0.73642208506438478</c:v>
                </c:pt>
                <c:pt idx="100">
                  <c:v>0.35397378108681099</c:v>
                </c:pt>
                <c:pt idx="101">
                  <c:v>0.26598377527125117</c:v>
                </c:pt>
                <c:pt idx="102">
                  <c:v>0.59275008058664391</c:v>
                </c:pt>
                <c:pt idx="103">
                  <c:v>0.24336148623028836</c:v>
                </c:pt>
                <c:pt idx="104">
                  <c:v>0.61393590557222888</c:v>
                </c:pt>
                <c:pt idx="105">
                  <c:v>0.77513393964433996</c:v>
                </c:pt>
                <c:pt idx="106">
                  <c:v>0.89477820503361372</c:v>
                </c:pt>
                <c:pt idx="107">
                  <c:v>0.83997242907698688</c:v>
                </c:pt>
                <c:pt idx="108">
                  <c:v>0.57945933445804432</c:v>
                </c:pt>
                <c:pt idx="109">
                  <c:v>0.34156800858338365</c:v>
                </c:pt>
                <c:pt idx="110">
                  <c:v>0.76105646530349325</c:v>
                </c:pt>
                <c:pt idx="111">
                  <c:v>0.19968869233470654</c:v>
                </c:pt>
                <c:pt idx="112">
                  <c:v>0.73878364479157965</c:v>
                </c:pt>
                <c:pt idx="113">
                  <c:v>0.31169337559452837</c:v>
                </c:pt>
                <c:pt idx="114">
                  <c:v>0.58198024800353765</c:v>
                </c:pt>
                <c:pt idx="115">
                  <c:v>0.11294407645184464</c:v>
                </c:pt>
                <c:pt idx="116">
                  <c:v>0.89030319657815227</c:v>
                </c:pt>
                <c:pt idx="117">
                  <c:v>0.14599153305537785</c:v>
                </c:pt>
                <c:pt idx="118">
                  <c:v>0.71117109083917951</c:v>
                </c:pt>
                <c:pt idx="119">
                  <c:v>0.73482263191404207</c:v>
                </c:pt>
                <c:pt idx="120">
                  <c:v>0.84680112979493471</c:v>
                </c:pt>
                <c:pt idx="121">
                  <c:v>0.17598209162224188</c:v>
                </c:pt>
                <c:pt idx="122">
                  <c:v>0.76035204241488552</c:v>
                </c:pt>
                <c:pt idx="123">
                  <c:v>0.21123247509975698</c:v>
                </c:pt>
                <c:pt idx="124">
                  <c:v>0.9996473847719487</c:v>
                </c:pt>
                <c:pt idx="125">
                  <c:v>0.91687983220670111</c:v>
                </c:pt>
                <c:pt idx="126">
                  <c:v>0.5171370590561748</c:v>
                </c:pt>
                <c:pt idx="127">
                  <c:v>0.22200243485185986</c:v>
                </c:pt>
                <c:pt idx="128">
                  <c:v>0.31843593413741045</c:v>
                </c:pt>
                <c:pt idx="129">
                  <c:v>0.99323463460662464</c:v>
                </c:pt>
                <c:pt idx="130">
                  <c:v>0.31712514372323153</c:v>
                </c:pt>
                <c:pt idx="131">
                  <c:v>0.35849407359715013</c:v>
                </c:pt>
                <c:pt idx="132">
                  <c:v>0.89924851193791755</c:v>
                </c:pt>
                <c:pt idx="133">
                  <c:v>0.12522717042689877</c:v>
                </c:pt>
                <c:pt idx="134">
                  <c:v>0.69403362754585229</c:v>
                </c:pt>
                <c:pt idx="135">
                  <c:v>0.15964173803480136</c:v>
                </c:pt>
                <c:pt idx="136">
                  <c:v>2.4701505916658109E-2</c:v>
                </c:pt>
                <c:pt idx="137">
                  <c:v>0.66646899296101392</c:v>
                </c:pt>
                <c:pt idx="138">
                  <c:v>0.18502511643663869</c:v>
                </c:pt>
                <c:pt idx="139">
                  <c:v>0.34604248318034558</c:v>
                </c:pt>
                <c:pt idx="140">
                  <c:v>0.8486106415007042</c:v>
                </c:pt>
                <c:pt idx="141">
                  <c:v>0.20897560002385107</c:v>
                </c:pt>
                <c:pt idx="142">
                  <c:v>9.6712064477554958E-3</c:v>
                </c:pt>
                <c:pt idx="143">
                  <c:v>0.61735778725624346</c:v>
                </c:pt>
                <c:pt idx="144">
                  <c:v>0.96285745396680011</c:v>
                </c:pt>
                <c:pt idx="145">
                  <c:v>0.16682708192248702</c:v>
                </c:pt>
                <c:pt idx="146">
                  <c:v>0.6458493468724783</c:v>
                </c:pt>
                <c:pt idx="147">
                  <c:v>0.82237796307179234</c:v>
                </c:pt>
                <c:pt idx="148">
                  <c:v>0.54993023043656453</c:v>
                </c:pt>
                <c:pt idx="149">
                  <c:v>0.6476198981142256</c:v>
                </c:pt>
                <c:pt idx="150">
                  <c:v>0.69213673925946928</c:v>
                </c:pt>
                <c:pt idx="151">
                  <c:v>0.16162778627936739</c:v>
                </c:pt>
                <c:pt idx="152">
                  <c:v>0.44253562866020218</c:v>
                </c:pt>
                <c:pt idx="153">
                  <c:v>0.63466578057704071</c:v>
                </c:pt>
                <c:pt idx="154">
                  <c:v>0.26998537809338025</c:v>
                </c:pt>
                <c:pt idx="155">
                  <c:v>3.734987393653242E-2</c:v>
                </c:pt>
                <c:pt idx="156">
                  <c:v>0.9610565426472738</c:v>
                </c:pt>
                <c:pt idx="157">
                  <c:v>0.14121286772352235</c:v>
                </c:pt>
                <c:pt idx="158">
                  <c:v>0.24326251877618021</c:v>
                </c:pt>
                <c:pt idx="159">
                  <c:v>0.11622720914423351</c:v>
                </c:pt>
                <c:pt idx="160">
                  <c:v>0.85212350287363514</c:v>
                </c:pt>
                <c:pt idx="161">
                  <c:v>0.18258673192478711</c:v>
                </c:pt>
                <c:pt idx="162">
                  <c:v>0.11285548890099718</c:v>
                </c:pt>
                <c:pt idx="163">
                  <c:v>0.34529154568911702</c:v>
                </c:pt>
                <c:pt idx="164">
                  <c:v>0.96054036263630549</c:v>
                </c:pt>
                <c:pt idx="165">
                  <c:v>0.35803921658084475</c:v>
                </c:pt>
                <c:pt idx="166">
                  <c:v>0.71418222181027902</c:v>
                </c:pt>
                <c:pt idx="167">
                  <c:v>0.1847598674797041</c:v>
                </c:pt>
                <c:pt idx="168">
                  <c:v>9.1905022418297191E-2</c:v>
                </c:pt>
                <c:pt idx="169">
                  <c:v>0.97869325728737522</c:v>
                </c:pt>
                <c:pt idx="170">
                  <c:v>2.237689787792466E-2</c:v>
                </c:pt>
                <c:pt idx="171">
                  <c:v>7.5284534388438656E-2</c:v>
                </c:pt>
                <c:pt idx="172">
                  <c:v>7.0152267580202543E-2</c:v>
                </c:pt>
                <c:pt idx="173">
                  <c:v>0.11641213367920838</c:v>
                </c:pt>
                <c:pt idx="174">
                  <c:v>0.87801423938840228</c:v>
                </c:pt>
                <c:pt idx="175">
                  <c:v>9.5822553854401263E-2</c:v>
                </c:pt>
                <c:pt idx="176">
                  <c:v>0.65781044063400262</c:v>
                </c:pt>
                <c:pt idx="177">
                  <c:v>7.7690682468408198E-2</c:v>
                </c:pt>
                <c:pt idx="178">
                  <c:v>0.77384274960374322</c:v>
                </c:pt>
                <c:pt idx="179">
                  <c:v>0.24548859416143359</c:v>
                </c:pt>
                <c:pt idx="180">
                  <c:v>0.13101403316083249</c:v>
                </c:pt>
                <c:pt idx="181">
                  <c:v>0.63501990749168391</c:v>
                </c:pt>
                <c:pt idx="182">
                  <c:v>0.98464425121659571</c:v>
                </c:pt>
                <c:pt idx="183">
                  <c:v>0.27521499198719945</c:v>
                </c:pt>
                <c:pt idx="184">
                  <c:v>0.27128229830631345</c:v>
                </c:pt>
                <c:pt idx="185">
                  <c:v>0.18303722783253573</c:v>
                </c:pt>
                <c:pt idx="186">
                  <c:v>0.41841357879765351</c:v>
                </c:pt>
                <c:pt idx="187">
                  <c:v>1.259592852228702E-2</c:v>
                </c:pt>
                <c:pt idx="188">
                  <c:v>2.1071624428823314E-2</c:v>
                </c:pt>
                <c:pt idx="189">
                  <c:v>0.25923664730893259</c:v>
                </c:pt>
                <c:pt idx="190">
                  <c:v>3.9956934394089021E-4</c:v>
                </c:pt>
                <c:pt idx="191">
                  <c:v>0.7971923809089847</c:v>
                </c:pt>
                <c:pt idx="192">
                  <c:v>5.7534513792688605E-2</c:v>
                </c:pt>
                <c:pt idx="193">
                  <c:v>0.37767538666215006</c:v>
                </c:pt>
                <c:pt idx="194">
                  <c:v>0.44509933632475662</c:v>
                </c:pt>
                <c:pt idx="195">
                  <c:v>0.84615825184283555</c:v>
                </c:pt>
                <c:pt idx="196">
                  <c:v>0.6133658295521156</c:v>
                </c:pt>
                <c:pt idx="197">
                  <c:v>0.51930309585307577</c:v>
                </c:pt>
                <c:pt idx="198">
                  <c:v>0.10229966720373948</c:v>
                </c:pt>
                <c:pt idx="199">
                  <c:v>0.31591178419795102</c:v>
                </c:pt>
                <c:pt idx="200">
                  <c:v>0.95557646825006171</c:v>
                </c:pt>
                <c:pt idx="201">
                  <c:v>5.5280226679274534E-2</c:v>
                </c:pt>
                <c:pt idx="202">
                  <c:v>0.67481805475649603</c:v>
                </c:pt>
                <c:pt idx="203">
                  <c:v>6.1535345927547551E-2</c:v>
                </c:pt>
                <c:pt idx="204">
                  <c:v>0.17451558140135051</c:v>
                </c:pt>
                <c:pt idx="205">
                  <c:v>0.86044700855891898</c:v>
                </c:pt>
                <c:pt idx="206">
                  <c:v>0.70591131234044147</c:v>
                </c:pt>
                <c:pt idx="207">
                  <c:v>0.83057069377039794</c:v>
                </c:pt>
                <c:pt idx="208">
                  <c:v>0.14428222238642235</c:v>
                </c:pt>
                <c:pt idx="209">
                  <c:v>0.50977210912900783</c:v>
                </c:pt>
                <c:pt idx="210">
                  <c:v>0.47168559178181996</c:v>
                </c:pt>
                <c:pt idx="211">
                  <c:v>0.88801009735586267</c:v>
                </c:pt>
                <c:pt idx="212">
                  <c:v>0.57094503712308631</c:v>
                </c:pt>
                <c:pt idx="213">
                  <c:v>0.26635350472988328</c:v>
                </c:pt>
                <c:pt idx="214">
                  <c:v>0.69329250564268907</c:v>
                </c:pt>
                <c:pt idx="215">
                  <c:v>0.83238428124132779</c:v>
                </c:pt>
                <c:pt idx="216">
                  <c:v>0.15705275044873812</c:v>
                </c:pt>
                <c:pt idx="217">
                  <c:v>0.90190082704721908</c:v>
                </c:pt>
                <c:pt idx="218">
                  <c:v>0.91808299822961759</c:v>
                </c:pt>
                <c:pt idx="219">
                  <c:v>0.83771935774113127</c:v>
                </c:pt>
                <c:pt idx="220">
                  <c:v>2.0910108044313994E-2</c:v>
                </c:pt>
                <c:pt idx="221">
                  <c:v>0.8263581981552417</c:v>
                </c:pt>
                <c:pt idx="222">
                  <c:v>0.299599279596516</c:v>
                </c:pt>
                <c:pt idx="223">
                  <c:v>0.57776738400083461</c:v>
                </c:pt>
                <c:pt idx="224">
                  <c:v>0.85430624377404096</c:v>
                </c:pt>
                <c:pt idx="225">
                  <c:v>0.13647636713461983</c:v>
                </c:pt>
                <c:pt idx="226">
                  <c:v>0.61015083810324466</c:v>
                </c:pt>
                <c:pt idx="227">
                  <c:v>0.666877744643531</c:v>
                </c:pt>
                <c:pt idx="228">
                  <c:v>0.25038554546529268</c:v>
                </c:pt>
                <c:pt idx="229">
                  <c:v>0.41909155593311664</c:v>
                </c:pt>
                <c:pt idx="230">
                  <c:v>0.68555474401090288</c:v>
                </c:pt>
                <c:pt idx="231">
                  <c:v>8.7718612550077166E-2</c:v>
                </c:pt>
                <c:pt idx="232">
                  <c:v>0.88164254794938923</c:v>
                </c:pt>
                <c:pt idx="233">
                  <c:v>0.44769485439485102</c:v>
                </c:pt>
                <c:pt idx="234">
                  <c:v>0.26868269622470226</c:v>
                </c:pt>
                <c:pt idx="235">
                  <c:v>0.67236048740487986</c:v>
                </c:pt>
                <c:pt idx="236">
                  <c:v>0.20374560940296693</c:v>
                </c:pt>
                <c:pt idx="237">
                  <c:v>0.69876983025619166</c:v>
                </c:pt>
                <c:pt idx="238">
                  <c:v>0.38364943080146241</c:v>
                </c:pt>
                <c:pt idx="239">
                  <c:v>0.29675093133864056</c:v>
                </c:pt>
                <c:pt idx="240">
                  <c:v>0.60123180454266012</c:v>
                </c:pt>
                <c:pt idx="241">
                  <c:v>0.79453245270291895</c:v>
                </c:pt>
                <c:pt idx="242">
                  <c:v>0.33962006528215327</c:v>
                </c:pt>
                <c:pt idx="243">
                  <c:v>0.7588184914216779</c:v>
                </c:pt>
                <c:pt idx="244">
                  <c:v>0.43512278919975433</c:v>
                </c:pt>
                <c:pt idx="245">
                  <c:v>0.55822403092355022</c:v>
                </c:pt>
                <c:pt idx="246">
                  <c:v>0.20374537492822709</c:v>
                </c:pt>
                <c:pt idx="247">
                  <c:v>0.53517276359232002</c:v>
                </c:pt>
                <c:pt idx="248">
                  <c:v>0.3002462386412954</c:v>
                </c:pt>
                <c:pt idx="249">
                  <c:v>0.91557660181103051</c:v>
                </c:pt>
                <c:pt idx="250">
                  <c:v>0.60849184399440648</c:v>
                </c:pt>
                <c:pt idx="251">
                  <c:v>0.87118158731392326</c:v>
                </c:pt>
                <c:pt idx="252">
                  <c:v>0.79580255848507353</c:v>
                </c:pt>
                <c:pt idx="253">
                  <c:v>0.33135400735552756</c:v>
                </c:pt>
                <c:pt idx="254">
                  <c:v>0.79823372894886568</c:v>
                </c:pt>
                <c:pt idx="255">
                  <c:v>0.77596096414204063</c:v>
                </c:pt>
                <c:pt idx="256">
                  <c:v>0.44807170229190674</c:v>
                </c:pt>
                <c:pt idx="257">
                  <c:v>6.2560600614789602E-2</c:v>
                </c:pt>
                <c:pt idx="258">
                  <c:v>0.46015819479952763</c:v>
                </c:pt>
                <c:pt idx="259">
                  <c:v>0.78080078467296454</c:v>
                </c:pt>
                <c:pt idx="260">
                  <c:v>0.96179148634258449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9-46B3-A06C-5B9A4AF2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33984"/>
        <c:axId val="1"/>
      </c:scatterChart>
      <c:valAx>
        <c:axId val="324633984"/>
        <c:scaling>
          <c:orientation val="minMax"/>
          <c:max val="1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24633984"/>
        <c:crosses val="autoZero"/>
        <c:crossBetween val="midCat"/>
      </c:valAx>
      <c:spPr>
        <a:solidFill>
          <a:srgbClr val="FFFFFF"/>
        </a:solidFill>
        <a:ln w="12700">
          <a:solidFill>
            <a:schemeClr val="accent2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437479</xdr:colOff>
      <xdr:row>1</xdr:row>
      <xdr:rowOff>224119</xdr:rowOff>
    </xdr:from>
    <xdr:to>
      <xdr:col>25</xdr:col>
      <xdr:colOff>618566</xdr:colOff>
      <xdr:row>22</xdr:row>
      <xdr:rowOff>129093</xdr:rowOff>
    </xdr:to>
    <xdr:graphicFrame macro="">
      <xdr:nvGraphicFramePr>
        <xdr:cNvPr id="1025" name="Graphique 1">
          <a:extLst>
            <a:ext uri="{FF2B5EF4-FFF2-40B4-BE49-F238E27FC236}">
              <a16:creationId xmlns:a16="http://schemas.microsoft.com/office/drawing/2014/main" id="{85BA4E52-6A8F-4D52-9611-07F464B561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S5045"/>
  <sheetViews>
    <sheetView showGridLines="0" tabSelected="1" zoomScale="85" workbookViewId="0">
      <selection activeCell="O3" sqref="O3"/>
    </sheetView>
  </sheetViews>
  <sheetFormatPr baseColWidth="10" defaultRowHeight="13.2" x14ac:dyDescent="0.25"/>
  <cols>
    <col min="3" max="3" width="11.5546875" style="9"/>
  </cols>
  <sheetData>
    <row r="1" spans="1:19" s="9" customFormat="1" x14ac:dyDescent="0.25">
      <c r="A1" s="9" t="s">
        <v>12</v>
      </c>
      <c r="F1" s="9" t="s">
        <v>4</v>
      </c>
      <c r="I1" s="9" t="s">
        <v>5</v>
      </c>
      <c r="L1" s="9" t="s">
        <v>7</v>
      </c>
      <c r="O1" s="9" t="s">
        <v>6</v>
      </c>
    </row>
    <row r="2" spans="1:19" ht="39.9" customHeight="1" x14ac:dyDescent="0.25">
      <c r="A2" s="8" t="s">
        <v>10</v>
      </c>
      <c r="B2" s="7" t="s">
        <v>11</v>
      </c>
      <c r="F2" s="8" t="s">
        <v>8</v>
      </c>
      <c r="G2" s="7" t="s">
        <v>9</v>
      </c>
      <c r="I2" s="8" t="s">
        <v>8</v>
      </c>
      <c r="J2" s="7" t="s">
        <v>9</v>
      </c>
      <c r="L2" s="8" t="s">
        <v>8</v>
      </c>
      <c r="M2" s="7" t="s">
        <v>9</v>
      </c>
      <c r="O2" s="8" t="s">
        <v>10</v>
      </c>
      <c r="P2" s="7" t="s">
        <v>11</v>
      </c>
    </row>
    <row r="3" spans="1:19" x14ac:dyDescent="0.25">
      <c r="A3" s="2">
        <v>3.3999999999999998E-3</v>
      </c>
      <c r="B3" s="2">
        <v>2.7602349110126198E-3</v>
      </c>
      <c r="D3" s="10" t="s">
        <v>2</v>
      </c>
      <c r="F3" s="1">
        <f ca="1">NORMSINV(RAND())</f>
        <v>-1.1936208864728295</v>
      </c>
      <c r="G3" s="1">
        <f ca="1">NORMSINV(RAND())</f>
        <v>1.3418029066856549</v>
      </c>
      <c r="I3" s="1">
        <f t="array" aca="1" ref="I3:J3" ca="1">TRANSPOSE(MMULT($D$11:$E$12,TRANSPOSE(F3:G3)))</f>
        <v>-1.1936208864726128</v>
      </c>
      <c r="J3" s="1">
        <f ca="1"/>
        <v>0.59087704306719302</v>
      </c>
      <c r="L3" s="1">
        <f t="shared" ref="L3:L66" ca="1" si="0">NORMSDIST(I3)</f>
        <v>0.11631315000161903</v>
      </c>
      <c r="M3" s="1">
        <f t="shared" ref="M3:M66" ca="1" si="1">NORMSDIST(J3)</f>
        <v>0.72269859556960236</v>
      </c>
      <c r="O3" s="2">
        <f ca="1">NORMINV(L3,D$16,D$17)</f>
        <v>-2.301932478028676E-2</v>
      </c>
      <c r="P3" s="2">
        <f ca="1">NORMINV(M3,E$16,E$17)</f>
        <v>1.229628066738692E-2</v>
      </c>
      <c r="Q3" s="9"/>
      <c r="R3" s="10" t="s">
        <v>2</v>
      </c>
      <c r="S3" s="9"/>
    </row>
    <row r="4" spans="1:19" x14ac:dyDescent="0.25">
      <c r="A4" s="2">
        <v>0</v>
      </c>
      <c r="B4" s="2">
        <v>-2.4025985583427762E-3</v>
      </c>
      <c r="D4" s="14" t="s">
        <v>10</v>
      </c>
      <c r="E4" s="15" t="s">
        <v>11</v>
      </c>
      <c r="F4" s="1">
        <f t="shared" ref="F4:G67" ca="1" si="2">NORMSINV(RAND())</f>
        <v>1.3872334039118672</v>
      </c>
      <c r="G4" s="1">
        <f t="shared" ca="1" si="2"/>
        <v>1.7131066970554816</v>
      </c>
      <c r="I4" s="1">
        <f t="array" aca="1" ref="I4:J4" ca="1">TRANSPOSE(MMULT($D$11:$E$12,TRANSPOSE(F4:G4)))</f>
        <v>1.3872334039116154</v>
      </c>
      <c r="J4" s="1">
        <f ca="1"/>
        <v>2.1717606535634615</v>
      </c>
      <c r="L4" s="1">
        <f t="shared" ca="1" si="0"/>
        <v>0.91731469865065429</v>
      </c>
      <c r="M4" s="1">
        <f t="shared" ca="1" si="1"/>
        <v>0.98506313954329516</v>
      </c>
      <c r="O4" s="2">
        <f t="shared" ref="O4:P67" ca="1" si="3">NORMINV(L4,D$16,D$17)</f>
        <v>2.6077143309326121E-2</v>
      </c>
      <c r="P4" s="2">
        <f t="shared" ca="1" si="3"/>
        <v>4.6527884677585257E-2</v>
      </c>
      <c r="Q4" s="9"/>
      <c r="R4" s="14" t="s">
        <v>10</v>
      </c>
      <c r="S4" s="15" t="s">
        <v>11</v>
      </c>
    </row>
    <row r="5" spans="1:19" x14ac:dyDescent="0.25">
      <c r="A5" s="2">
        <v>0</v>
      </c>
      <c r="B5" s="2">
        <v>9.8656814168490876E-3</v>
      </c>
      <c r="C5" s="12" t="s">
        <v>10</v>
      </c>
      <c r="D5" s="3">
        <f t="array" ref="D5:E6">matcorr(A3:B5045)</f>
        <v>0.99999999999963696</v>
      </c>
      <c r="E5" s="4">
        <v>0.4868778818112332</v>
      </c>
      <c r="F5" s="1">
        <f t="shared" ca="1" si="2"/>
        <v>1.2072373945241579</v>
      </c>
      <c r="G5" s="1">
        <f t="shared" ca="1" si="2"/>
        <v>1.3458343693880637</v>
      </c>
      <c r="I5" s="1">
        <f t="array" aca="1" ref="I5:J5" ca="1">TRANSPOSE(MMULT($D$11:$E$12,TRANSPOSE(F5:G5)))</f>
        <v>1.2072373945239387</v>
      </c>
      <c r="J5" s="1">
        <f ca="1"/>
        <v>1.763323199376321</v>
      </c>
      <c r="L5" s="1">
        <f t="shared" ca="1" si="0"/>
        <v>0.88632963344381299</v>
      </c>
      <c r="M5" s="1">
        <f t="shared" ca="1" si="1"/>
        <v>0.96107700265927032</v>
      </c>
      <c r="O5" s="2">
        <f t="shared" ca="1" si="3"/>
        <v>2.2653018063633113E-2</v>
      </c>
      <c r="P5" s="2">
        <f t="shared" ca="1" si="3"/>
        <v>3.7683799571105646E-2</v>
      </c>
      <c r="Q5" s="12" t="s">
        <v>10</v>
      </c>
      <c r="R5" s="17">
        <f t="array" aca="1" ref="R5:S6" ca="1">matcorr(O3:P5045)</f>
        <v>1.0000000000005382</v>
      </c>
      <c r="S5" s="18">
        <f ca="1"/>
        <v>0.4428803998237974</v>
      </c>
    </row>
    <row r="6" spans="1:19" x14ac:dyDescent="0.25">
      <c r="A6" s="2">
        <v>0</v>
      </c>
      <c r="B6" s="2">
        <v>-8.3722432840805652E-4</v>
      </c>
      <c r="C6" s="13" t="s">
        <v>11</v>
      </c>
      <c r="D6" s="5">
        <v>0.4868778818112332</v>
      </c>
      <c r="E6" s="6">
        <v>0.9999999999997794</v>
      </c>
      <c r="F6" s="1">
        <f t="shared" ca="1" si="2"/>
        <v>0.75828758952602271</v>
      </c>
      <c r="G6" s="1">
        <f t="shared" ca="1" si="2"/>
        <v>-0.16491654968696071</v>
      </c>
      <c r="I6" s="1">
        <f t="array" aca="1" ref="I6:J6" ca="1">TRANSPOSE(MMULT($D$11:$E$12,TRANSPOSE(F6:G6)))</f>
        <v>0.75828758952588504</v>
      </c>
      <c r="J6" s="1">
        <f ca="1"/>
        <v>0.22514378849552802</v>
      </c>
      <c r="L6" s="1">
        <f t="shared" ca="1" si="0"/>
        <v>0.7758605823987883</v>
      </c>
      <c r="M6" s="1">
        <f t="shared" ca="1" si="1"/>
        <v>0.58906629148823531</v>
      </c>
      <c r="O6" s="2">
        <f t="shared" ca="1" si="3"/>
        <v>1.4112493378822892E-2</v>
      </c>
      <c r="P6" s="2">
        <f t="shared" ca="1" si="3"/>
        <v>4.3768893467772008E-3</v>
      </c>
      <c r="Q6" s="13" t="s">
        <v>11</v>
      </c>
      <c r="R6" s="19">
        <f ca="1"/>
        <v>0.4428803998237974</v>
      </c>
      <c r="S6" s="20">
        <f ca="1"/>
        <v>0.9999999999996485</v>
      </c>
    </row>
    <row r="7" spans="1:19" x14ac:dyDescent="0.25">
      <c r="A7" s="2">
        <v>-1.0928923070264468E-2</v>
      </c>
      <c r="B7" s="2">
        <v>7.3180452407570901E-3</v>
      </c>
      <c r="F7" s="1">
        <f t="shared" ca="1" si="2"/>
        <v>1.4725418221665949</v>
      </c>
      <c r="G7" s="1">
        <f t="shared" ca="1" si="2"/>
        <v>-0.67780707277021046</v>
      </c>
      <c r="I7" s="1">
        <f t="array" aca="1" ref="I7:J7" ca="1">TRANSPOSE(MMULT($D$11:$E$12,TRANSPOSE(F7:G7)))</f>
        <v>1.4725418221663276</v>
      </c>
      <c r="J7" s="1">
        <f ca="1"/>
        <v>0.12490386552929522</v>
      </c>
      <c r="L7" s="1">
        <f t="shared" ca="1" si="0"/>
        <v>0.92956268900543038</v>
      </c>
      <c r="M7" s="1">
        <f t="shared" ca="1" si="1"/>
        <v>0.54970017095500945</v>
      </c>
      <c r="O7" s="2">
        <f t="shared" ca="1" si="3"/>
        <v>2.7699994335911679E-2</v>
      </c>
      <c r="P7" s="2">
        <f t="shared" ca="1" si="3"/>
        <v>2.2063479317038321E-3</v>
      </c>
      <c r="Q7" s="9"/>
      <c r="R7" s="9"/>
      <c r="S7" s="9"/>
    </row>
    <row r="8" spans="1:19" x14ac:dyDescent="0.25">
      <c r="A8" s="2">
        <v>-8.2484384659282442E-3</v>
      </c>
      <c r="B8" s="2">
        <v>6.0259392597608579E-3</v>
      </c>
      <c r="F8" s="1">
        <f t="shared" ca="1" si="2"/>
        <v>-1.0704060939126616</v>
      </c>
      <c r="G8" s="1">
        <f t="shared" ca="1" si="2"/>
        <v>1.4543079320341361</v>
      </c>
      <c r="I8" s="1">
        <f t="array" aca="1" ref="I8:J8" ca="1">TRANSPOSE(MMULT($D$11:$E$12,TRANSPOSE(F8:G8)))</f>
        <v>-1.0704060939124673</v>
      </c>
      <c r="J8" s="1">
        <f ca="1"/>
        <v>0.74913737039024497</v>
      </c>
      <c r="L8" s="1">
        <f t="shared" ca="1" si="0"/>
        <v>0.142218278742517</v>
      </c>
      <c r="M8" s="1">
        <f t="shared" ca="1" si="1"/>
        <v>0.77311279353965079</v>
      </c>
      <c r="O8" s="2">
        <f t="shared" ca="1" si="3"/>
        <v>-2.0675367915446916E-2</v>
      </c>
      <c r="P8" s="2">
        <f t="shared" ca="1" si="3"/>
        <v>1.572316473366327E-2</v>
      </c>
      <c r="Q8" s="9"/>
      <c r="R8" s="9"/>
      <c r="S8" s="9"/>
    </row>
    <row r="9" spans="1:19" x14ac:dyDescent="0.25">
      <c r="A9" s="2">
        <v>-3.2402948039253632E-3</v>
      </c>
      <c r="B9" s="2">
        <v>-1.0224057877186568E-2</v>
      </c>
      <c r="D9" s="11" t="s">
        <v>3</v>
      </c>
      <c r="F9" s="1">
        <f t="shared" ca="1" si="2"/>
        <v>1.0582343815668767</v>
      </c>
      <c r="G9" s="1">
        <f t="shared" ca="1" si="2"/>
        <v>-0.8755123074319503</v>
      </c>
      <c r="I9" s="1">
        <f t="array" aca="1" ref="I9:J9" ca="1">TRANSPOSE(MMULT($D$11:$E$12,TRANSPOSE(F9:G9)))</f>
        <v>1.0582343815666846</v>
      </c>
      <c r="J9" s="1">
        <f ca="1"/>
        <v>-0.24950286476880323</v>
      </c>
      <c r="L9" s="1">
        <f t="shared" ca="1" si="0"/>
        <v>0.85502569990304567</v>
      </c>
      <c r="M9" s="1">
        <f t="shared" ca="1" si="1"/>
        <v>0.40148591259860666</v>
      </c>
      <c r="O9" s="2">
        <f t="shared" ca="1" si="3"/>
        <v>1.9818483119847932E-2</v>
      </c>
      <c r="P9" s="2">
        <f t="shared" ca="1" si="3"/>
        <v>-5.9008541704764078E-3</v>
      </c>
    </row>
    <row r="10" spans="1:19" x14ac:dyDescent="0.25">
      <c r="A10" s="2">
        <v>-8.7316937098741668E-3</v>
      </c>
      <c r="B10" s="2">
        <v>-9.1622410792940225E-3</v>
      </c>
      <c r="D10" s="14" t="s">
        <v>10</v>
      </c>
      <c r="E10" s="15" t="s">
        <v>11</v>
      </c>
      <c r="F10" s="1">
        <f t="shared" ca="1" si="2"/>
        <v>1.0806196625235247</v>
      </c>
      <c r="G10" s="1">
        <f t="shared" ca="1" si="2"/>
        <v>1.1600756943311235</v>
      </c>
      <c r="I10" s="1">
        <f t="array" aca="1" ref="I10:J10" ca="1">TRANSPOSE(MMULT($D$11:$E$12,TRANSPOSE(F10:G10)))</f>
        <v>1.0806196625233286</v>
      </c>
      <c r="J10" s="1">
        <f ca="1"/>
        <v>1.5394211870348906</v>
      </c>
      <c r="L10" s="1">
        <f t="shared" ca="1" si="0"/>
        <v>0.86006683377434501</v>
      </c>
      <c r="M10" s="1">
        <f t="shared" ca="1" si="1"/>
        <v>0.93814924754359086</v>
      </c>
      <c r="O10" s="2">
        <f t="shared" ca="1" si="3"/>
        <v>2.0244325925565285E-2</v>
      </c>
      <c r="P10" s="2">
        <f t="shared" ca="1" si="3"/>
        <v>3.2835545738458018E-2</v>
      </c>
    </row>
    <row r="11" spans="1:19" x14ac:dyDescent="0.25">
      <c r="A11" s="2">
        <v>1.3419292589819682E-3</v>
      </c>
      <c r="B11" s="2">
        <v>-2.5931088278587539E-4</v>
      </c>
      <c r="C11" s="12" t="s">
        <v>10</v>
      </c>
      <c r="D11" s="3">
        <f t="array" ref="D11:E12">cholesky(D5:E6)</f>
        <v>0.99999999999981848</v>
      </c>
      <c r="E11" s="4">
        <v>0</v>
      </c>
      <c r="F11" s="1">
        <f t="shared" ca="1" si="2"/>
        <v>-1.7049356535059514</v>
      </c>
      <c r="G11" s="1">
        <f t="shared" ca="1" si="2"/>
        <v>0.94811543380426577</v>
      </c>
      <c r="I11" s="1">
        <f t="array" aca="1" ref="I11:J11" ca="1">TRANSPOSE(MMULT($D$11:$E$12,TRANSPOSE(F11:G11)))</f>
        <v>-1.7049356535056419</v>
      </c>
      <c r="J11" s="1">
        <f ca="1"/>
        <v>-1.9450242568392895E-3</v>
      </c>
      <c r="L11" s="1">
        <f t="shared" ca="1" si="0"/>
        <v>4.410321297182089E-2</v>
      </c>
      <c r="M11" s="1">
        <f t="shared" ca="1" si="1"/>
        <v>0.4992240480767936</v>
      </c>
      <c r="O11" s="2">
        <f t="shared" ca="1" si="3"/>
        <v>-3.2746239328278366E-2</v>
      </c>
      <c r="P11" s="2">
        <f t="shared" ca="1" si="3"/>
        <v>-5.403697491310885E-4</v>
      </c>
    </row>
    <row r="12" spans="1:19" x14ac:dyDescent="0.25">
      <c r="A12" s="2">
        <v>1.0075911857957164E-2</v>
      </c>
      <c r="B12" s="2">
        <v>-2.1418843782754098E-3</v>
      </c>
      <c r="C12" s="13" t="s">
        <v>11</v>
      </c>
      <c r="D12" s="5">
        <v>0.48687788181132158</v>
      </c>
      <c r="E12" s="6">
        <v>0.87347004997464006</v>
      </c>
      <c r="F12" s="1">
        <f t="shared" ca="1" si="2"/>
        <v>0.16807243597551738</v>
      </c>
      <c r="G12" s="1">
        <f t="shared" ca="1" si="2"/>
        <v>0.61453505004521702</v>
      </c>
      <c r="I12" s="1">
        <f t="array" aca="1" ref="I12:J12" ca="1">TRANSPOSE(MMULT($D$11:$E$12,TRANSPOSE(F12:G12)))</f>
        <v>0.16807243597548688</v>
      </c>
      <c r="J12" s="1">
        <f ca="1"/>
        <v>0.61860871249279248</v>
      </c>
      <c r="L12" s="1">
        <f t="shared" ca="1" si="0"/>
        <v>0.56673685311904676</v>
      </c>
      <c r="M12" s="1">
        <f t="shared" ca="1" si="1"/>
        <v>0.73191291955937854</v>
      </c>
      <c r="O12" s="2">
        <f t="shared" ca="1" si="3"/>
        <v>2.8846299693085897E-3</v>
      </c>
      <c r="P12" s="2">
        <f t="shared" ca="1" si="3"/>
        <v>1.2896767331943358E-2</v>
      </c>
      <c r="Q12" s="9"/>
      <c r="R12" s="9"/>
      <c r="S12" s="9"/>
    </row>
    <row r="13" spans="1:19" x14ac:dyDescent="0.25">
      <c r="A13" s="2">
        <v>1.511141376049365E-2</v>
      </c>
      <c r="B13" s="2">
        <v>4.7319722703884053E-3</v>
      </c>
      <c r="F13" s="1">
        <f t="shared" ca="1" si="2"/>
        <v>1.2542661315089501</v>
      </c>
      <c r="G13" s="1">
        <f t="shared" ca="1" si="2"/>
        <v>-0.44387778768897079</v>
      </c>
      <c r="I13" s="1">
        <f t="array" aca="1" ref="I13:J13" ca="1">TRANSPOSE(MMULT($D$11:$E$12,TRANSPOSE(F13:G13)))</f>
        <v>1.2542661315087225</v>
      </c>
      <c r="J13" s="1">
        <f ca="1"/>
        <v>0.22296048394144008</v>
      </c>
      <c r="L13" s="1">
        <f t="shared" ca="1" si="0"/>
        <v>0.89512735506596797</v>
      </c>
      <c r="M13" s="1">
        <f t="shared" ca="1" si="1"/>
        <v>0.58821686920058924</v>
      </c>
      <c r="O13" s="2">
        <f t="shared" ca="1" si="3"/>
        <v>2.3547661706736448E-2</v>
      </c>
      <c r="P13" s="2">
        <f t="shared" ca="1" si="3"/>
        <v>4.3296132434429797E-3</v>
      </c>
    </row>
    <row r="14" spans="1:19" x14ac:dyDescent="0.25">
      <c r="A14" s="2">
        <v>-3.3827498674586227E-3</v>
      </c>
      <c r="B14" s="2">
        <v>4.4521947332997356E-3</v>
      </c>
      <c r="C14" s="23"/>
      <c r="D14" s="16"/>
      <c r="E14" s="16"/>
      <c r="F14" s="1">
        <f t="shared" ca="1" si="2"/>
        <v>-0.35554779549501281</v>
      </c>
      <c r="G14" s="1">
        <f t="shared" ca="1" si="2"/>
        <v>1.5356690012674252</v>
      </c>
      <c r="I14" s="1">
        <f t="array" aca="1" ref="I14:J14" ca="1">TRANSPOSE(MMULT($D$11:$E$12,TRANSPOSE(F14:G14)))</f>
        <v>-0.35554779549494825</v>
      </c>
      <c r="J14" s="1">
        <f ca="1"/>
        <v>1.1682525217282667</v>
      </c>
      <c r="L14" s="1">
        <f t="shared" ca="1" si="0"/>
        <v>0.36108962257694743</v>
      </c>
      <c r="M14" s="1">
        <f t="shared" ca="1" si="1"/>
        <v>0.87864753977073407</v>
      </c>
      <c r="O14" s="2">
        <f t="shared" ca="1" si="3"/>
        <v>-7.0763756098311068E-3</v>
      </c>
      <c r="P14" s="2">
        <f t="shared" ca="1" si="3"/>
        <v>2.4798458955211756E-2</v>
      </c>
    </row>
    <row r="15" spans="1:19" x14ac:dyDescent="0.25">
      <c r="A15" s="2">
        <v>4.1576172523083259E-3</v>
      </c>
      <c r="B15" s="2">
        <v>5.3934446450684933E-3</v>
      </c>
      <c r="D15" s="14" t="s">
        <v>10</v>
      </c>
      <c r="E15" s="15" t="s">
        <v>11</v>
      </c>
      <c r="F15" s="1">
        <f t="shared" ca="1" si="2"/>
        <v>-1.0348878728155326</v>
      </c>
      <c r="G15" s="1">
        <f t="shared" ca="1" si="2"/>
        <v>0.24065089081249366</v>
      </c>
      <c r="I15" s="1">
        <f t="array" aca="1" ref="I15:J15" ca="1">TRANSPOSE(MMULT($D$11:$E$12,TRANSPOSE(F15:G15)))</f>
        <v>-1.0348878728153448</v>
      </c>
      <c r="J15" s="1">
        <f ca="1"/>
        <v>-0.2936626698042204</v>
      </c>
      <c r="L15" s="1">
        <f t="shared" ca="1" si="0"/>
        <v>0.15036063939587027</v>
      </c>
      <c r="M15" s="1">
        <f t="shared" ca="1" si="1"/>
        <v>0.38450784116620529</v>
      </c>
      <c r="O15" s="2">
        <f t="shared" ca="1" si="3"/>
        <v>-1.9999692727121897E-2</v>
      </c>
      <c r="P15" s="2">
        <f t="shared" ca="1" si="3"/>
        <v>-6.8570668537525801E-3</v>
      </c>
    </row>
    <row r="16" spans="1:19" x14ac:dyDescent="0.25">
      <c r="A16" s="2">
        <v>6.5722798745856082E-3</v>
      </c>
      <c r="B16" s="2">
        <v>1.0573683658863478E-2</v>
      </c>
      <c r="C16" s="12" t="s">
        <v>0</v>
      </c>
      <c r="D16" s="24">
        <f>AVERAGE(A3:A263)</f>
        <v>-3.1266908796809988E-4</v>
      </c>
      <c r="E16" s="21">
        <f>AVERAGE(B3:B263)</f>
        <v>-4.9825323928287123E-4</v>
      </c>
      <c r="F16" s="1">
        <f t="shared" ca="1" si="2"/>
        <v>-1.0947665731067762</v>
      </c>
      <c r="G16" s="1">
        <f t="shared" ca="1" si="2"/>
        <v>0.61326927734075576</v>
      </c>
      <c r="I16" s="1">
        <f t="array" aca="1" ref="I16:J16" ca="1">TRANSPOSE(MMULT($D$11:$E$12,TRANSPOSE(F16:G16)))</f>
        <v>-1.0947665731065774</v>
      </c>
      <c r="J16" s="1">
        <f ca="1"/>
        <v>2.6547161346748283E-3</v>
      </c>
      <c r="L16" s="1">
        <f t="shared" ca="1" si="0"/>
        <v>0.1368094571531405</v>
      </c>
      <c r="M16" s="1">
        <f t="shared" ca="1" si="1"/>
        <v>0.50105907726460786</v>
      </c>
      <c r="O16" s="2">
        <f t="shared" ca="1" si="3"/>
        <v>-2.1138785588369173E-2</v>
      </c>
      <c r="P16" s="2">
        <f t="shared" ca="1" si="3"/>
        <v>-4.407694429563697E-4</v>
      </c>
    </row>
    <row r="17" spans="1:16" x14ac:dyDescent="0.25">
      <c r="A17" s="2">
        <v>-4.0765754266123104E-3</v>
      </c>
      <c r="B17" s="2">
        <v>7.5745983111786741E-3</v>
      </c>
      <c r="C17" s="13" t="s">
        <v>1</v>
      </c>
      <c r="D17" s="25">
        <f>STDEV(A3:A263)</f>
        <v>1.9023339780373089E-2</v>
      </c>
      <c r="E17" s="22">
        <f>STDEV(B3:B263)</f>
        <v>2.1653462521160807E-2</v>
      </c>
      <c r="F17" s="1">
        <f t="shared" ca="1" si="2"/>
        <v>-0.87540073983281586</v>
      </c>
      <c r="G17" s="1">
        <f t="shared" ca="1" si="2"/>
        <v>0.614987695674867</v>
      </c>
      <c r="I17" s="1">
        <f t="array" aca="1" ref="I17:J17" ca="1">TRANSPOSE(MMULT($D$11:$E$12,TRANSPOSE(F17:G17)))</f>
        <v>-0.87540073983265698</v>
      </c>
      <c r="J17" s="1">
        <f ca="1"/>
        <v>0.11096007532904961</v>
      </c>
      <c r="L17" s="1">
        <f t="shared" ca="1" si="0"/>
        <v>0.19067794869303159</v>
      </c>
      <c r="M17" s="1">
        <f t="shared" ca="1" si="1"/>
        <v>0.54417599677985551</v>
      </c>
      <c r="O17" s="2">
        <f t="shared" ca="1" si="3"/>
        <v>-1.6965714805794715E-2</v>
      </c>
      <c r="P17" s="2">
        <f t="shared" ca="1" si="3"/>
        <v>1.9044165931998843E-3</v>
      </c>
    </row>
    <row r="18" spans="1:16" x14ac:dyDescent="0.25">
      <c r="A18" s="2">
        <v>-6.7188045928209133E-5</v>
      </c>
      <c r="B18" s="2">
        <v>1.916100537549526E-3</v>
      </c>
      <c r="F18" s="1">
        <f t="shared" ca="1" si="2"/>
        <v>0.15663435391030558</v>
      </c>
      <c r="G18" s="1">
        <f t="shared" ca="1" si="2"/>
        <v>-2.7687413139446284</v>
      </c>
      <c r="I18" s="1">
        <f t="array" aca="1" ref="I18:J18" ca="1">TRANSPOSE(MMULT($D$11:$E$12,TRANSPOSE(F18:G18)))</f>
        <v>0.15663435391027716</v>
      </c>
      <c r="J18" s="1">
        <f ca="1"/>
        <v>-2.3421508114073308</v>
      </c>
      <c r="L18" s="1">
        <f t="shared" ca="1" si="0"/>
        <v>0.56223348689423447</v>
      </c>
      <c r="M18" s="1">
        <f t="shared" ca="1" si="1"/>
        <v>9.5864828987032961E-3</v>
      </c>
      <c r="O18" s="2">
        <f t="shared" ca="1" si="3"/>
        <v>2.6670394477463122E-3</v>
      </c>
      <c r="P18" s="2">
        <f t="shared" ca="1" si="3"/>
        <v>-5.1213928052997869E-2</v>
      </c>
    </row>
    <row r="19" spans="1:16" x14ac:dyDescent="0.25">
      <c r="A19" s="2">
        <v>-3.5606988043318669E-3</v>
      </c>
      <c r="B19" s="2">
        <v>-3.4264371891485866E-3</v>
      </c>
      <c r="F19" s="1">
        <f t="shared" ca="1" si="2"/>
        <v>0.52545116818235671</v>
      </c>
      <c r="G19" s="1">
        <f t="shared" ca="1" si="2"/>
        <v>1.5115956386420852</v>
      </c>
      <c r="I19" s="1">
        <f t="array" aca="1" ref="I19:J19" ca="1">TRANSPOSE(MMULT($D$11:$E$12,TRANSPOSE(F19:G19)))</f>
        <v>0.52545116818226134</v>
      </c>
      <c r="J19" s="1">
        <f ca="1"/>
        <v>1.5761640697860604</v>
      </c>
      <c r="L19" s="1">
        <f t="shared" ca="1" si="0"/>
        <v>0.70036520446471195</v>
      </c>
      <c r="M19" s="1">
        <f t="shared" ca="1" si="1"/>
        <v>0.9425060016849498</v>
      </c>
      <c r="O19" s="2">
        <f t="shared" ca="1" si="3"/>
        <v>9.6831670223570272E-3</v>
      </c>
      <c r="P19" s="2">
        <f t="shared" ca="1" si="3"/>
        <v>3.363115637302988E-2</v>
      </c>
    </row>
    <row r="20" spans="1:16" x14ac:dyDescent="0.25">
      <c r="A20" s="2">
        <v>-1.5144238479630109E-2</v>
      </c>
      <c r="B20" s="2">
        <v>-4.228469538006709E-3</v>
      </c>
      <c r="F20" s="1">
        <f t="shared" ca="1" si="2"/>
        <v>-0.35360850381385278</v>
      </c>
      <c r="G20" s="1">
        <f t="shared" ca="1" si="2"/>
        <v>-8.4263018787814406E-2</v>
      </c>
      <c r="I20" s="1">
        <f t="array" aca="1" ref="I20:J20" ca="1">TRANSPOSE(MMULT($D$11:$E$12,TRANSPOSE(F20:G20)))</f>
        <v>-0.35360850381378861</v>
      </c>
      <c r="J20" s="1">
        <f ca="1"/>
        <v>-0.24576538255896554</v>
      </c>
      <c r="L20" s="1">
        <f t="shared" ca="1" si="0"/>
        <v>0.36181615024786973</v>
      </c>
      <c r="M20" s="1">
        <f t="shared" ca="1" si="1"/>
        <v>0.40293192799267863</v>
      </c>
      <c r="O20" s="2">
        <f t="shared" ca="1" si="3"/>
        <v>-7.039483805247158E-3</v>
      </c>
      <c r="P20" s="2">
        <f t="shared" ca="1" si="3"/>
        <v>-5.8199247395221794E-3</v>
      </c>
    </row>
    <row r="21" spans="1:16" x14ac:dyDescent="0.25">
      <c r="A21" s="2">
        <v>-2.3278742505298067E-4</v>
      </c>
      <c r="B21" s="2">
        <v>6.9956798821672666E-3</v>
      </c>
      <c r="F21" s="1">
        <f t="shared" ca="1" si="2"/>
        <v>-0.61993448706658183</v>
      </c>
      <c r="G21" s="1">
        <f t="shared" ca="1" si="2"/>
        <v>-0.55316073174981428</v>
      </c>
      <c r="I21" s="1">
        <f t="array" aca="1" ref="I21:J21" ca="1">TRANSPOSE(MMULT($D$11:$E$12,TRANSPOSE(F21:G21)))</f>
        <v>-0.61993448706646925</v>
      </c>
      <c r="J21" s="1">
        <f ca="1"/>
        <v>-0.78500172193028428</v>
      </c>
      <c r="L21" s="1">
        <f t="shared" ca="1" si="0"/>
        <v>0.26765045971389506</v>
      </c>
      <c r="M21" s="1">
        <f t="shared" ca="1" si="1"/>
        <v>0.21622627950404774</v>
      </c>
      <c r="O21" s="2">
        <f t="shared" ca="1" si="3"/>
        <v>-1.210589347700485E-2</v>
      </c>
      <c r="P21" s="2">
        <f t="shared" ca="1" si="3"/>
        <v>-1.749625860414698E-2</v>
      </c>
    </row>
    <row r="22" spans="1:16" x14ac:dyDescent="0.25">
      <c r="A22" s="2">
        <v>8.9980770569734799E-3</v>
      </c>
      <c r="B22" s="2">
        <v>1.1365532778907523E-2</v>
      </c>
      <c r="F22" s="1">
        <f t="shared" ca="1" si="2"/>
        <v>-0.19625490257264067</v>
      </c>
      <c r="G22" s="1">
        <f t="shared" ca="1" si="2"/>
        <v>-1.1037423657780581</v>
      </c>
      <c r="I22" s="1">
        <f t="array" aca="1" ref="I22:J22" ca="1">TRANSPOSE(MMULT($D$11:$E$12,TRANSPOSE(F22:G22)))</f>
        <v>-0.19625490257260503</v>
      </c>
      <c r="J22" s="1">
        <f ca="1"/>
        <v>-1.0596380706549424</v>
      </c>
      <c r="L22" s="1">
        <f t="shared" ca="1" si="0"/>
        <v>0.42220532872660793</v>
      </c>
      <c r="M22" s="1">
        <f t="shared" ca="1" si="1"/>
        <v>0.14465464339158188</v>
      </c>
      <c r="O22" s="2">
        <f t="shared" ca="1" si="3"/>
        <v>-4.0460927831707828E-3</v>
      </c>
      <c r="P22" s="2">
        <f t="shared" ca="1" si="3"/>
        <v>-2.3443086488204826E-2</v>
      </c>
    </row>
    <row r="23" spans="1:16" x14ac:dyDescent="0.25">
      <c r="A23" s="2">
        <v>-3.9028552587202768E-3</v>
      </c>
      <c r="B23" s="2">
        <v>2.8213136263744555E-3</v>
      </c>
      <c r="F23" s="1">
        <f t="shared" ca="1" si="2"/>
        <v>0.11759940960437183</v>
      </c>
      <c r="G23" s="1">
        <f t="shared" ca="1" si="2"/>
        <v>1.3047116688589564</v>
      </c>
      <c r="I23" s="1">
        <f t="array" aca="1" ref="I23:J23" ca="1">TRANSPOSE(MMULT($D$11:$E$12,TRANSPOSE(F23:G23)))</f>
        <v>0.11759940960435049</v>
      </c>
      <c r="J23" s="1">
        <f ca="1"/>
        <v>1.1968831180511672</v>
      </c>
      <c r="L23" s="1">
        <f t="shared" ca="1" si="0"/>
        <v>0.54680746361585597</v>
      </c>
      <c r="M23" s="1">
        <f t="shared" ca="1" si="1"/>
        <v>0.88432394243398083</v>
      </c>
      <c r="O23" s="2">
        <f t="shared" ca="1" si="3"/>
        <v>1.9244644389067305E-3</v>
      </c>
      <c r="P23" s="2">
        <f t="shared" ca="1" si="3"/>
        <v>2.5418410499648162E-2</v>
      </c>
    </row>
    <row r="24" spans="1:16" x14ac:dyDescent="0.25">
      <c r="A24" s="2">
        <v>-6.5685160417156795E-3</v>
      </c>
      <c r="B24" s="2">
        <v>1.5361285161487149E-2</v>
      </c>
      <c r="F24" s="1">
        <f t="shared" ca="1" si="2"/>
        <v>-1.3528895916862838</v>
      </c>
      <c r="G24" s="1">
        <f t="shared" ca="1" si="2"/>
        <v>1.0271032610751671</v>
      </c>
      <c r="I24" s="1">
        <f t="array" aca="1" ref="I24:J24" ca="1">TRANSPOSE(MMULT($D$11:$E$12,TRANSPOSE(F24:G24)))</f>
        <v>-1.3528895916860382</v>
      </c>
      <c r="J24" s="1">
        <f ca="1"/>
        <v>0.23845191805564048</v>
      </c>
      <c r="L24" s="1">
        <f t="shared" ca="1" si="0"/>
        <v>8.8045452509329047E-2</v>
      </c>
      <c r="M24" s="1">
        <f t="shared" ca="1" si="1"/>
        <v>0.59423469816705721</v>
      </c>
      <c r="O24" s="2">
        <f t="shared" ca="1" si="3"/>
        <v>-2.6049147475941808E-2</v>
      </c>
      <c r="P24" s="2">
        <f t="shared" ca="1" si="3"/>
        <v>4.6650564314338495E-3</v>
      </c>
    </row>
    <row r="25" spans="1:16" x14ac:dyDescent="0.25">
      <c r="A25" s="2">
        <v>-4.9979308013472189E-3</v>
      </c>
      <c r="B25" s="2">
        <v>1.6119381879883172E-2</v>
      </c>
      <c r="F25" s="1">
        <f t="shared" ca="1" si="2"/>
        <v>-0.24093609759637435</v>
      </c>
      <c r="G25" s="1">
        <f t="shared" ca="1" si="2"/>
        <v>-0.92277488094950433</v>
      </c>
      <c r="I25" s="1">
        <f t="array" aca="1" ref="I25:J25" ca="1">TRANSPOSE(MMULT($D$11:$E$12,TRANSPOSE(F25:G25)))</f>
        <v>-0.24093609759633061</v>
      </c>
      <c r="J25" s="1">
        <f ca="1"/>
        <v>-0.92332267822791469</v>
      </c>
      <c r="L25" s="1">
        <f t="shared" ca="1" si="0"/>
        <v>0.40480232212964168</v>
      </c>
      <c r="M25" s="1">
        <f t="shared" ca="1" si="1"/>
        <v>0.17791953649196113</v>
      </c>
      <c r="O25" s="2">
        <f t="shared" ca="1" si="3"/>
        <v>-4.8960783379002303E-3</v>
      </c>
      <c r="P25" s="2">
        <f t="shared" ca="1" si="3"/>
        <v>-2.0491386247228825E-2</v>
      </c>
    </row>
    <row r="26" spans="1:16" x14ac:dyDescent="0.25">
      <c r="A26" s="2">
        <v>-1.1027714034990532E-4</v>
      </c>
      <c r="B26" s="2">
        <v>-2.8240119711340507E-3</v>
      </c>
      <c r="F26" s="1">
        <f t="shared" ca="1" si="2"/>
        <v>1.3599399491165434</v>
      </c>
      <c r="G26" s="1">
        <f t="shared" ca="1" si="2"/>
        <v>0.9118402609960069</v>
      </c>
      <c r="I26" s="1">
        <f t="array" aca="1" ref="I26:J26" ca="1">TRANSPOSE(MMULT($D$11:$E$12,TRANSPOSE(F26:G26)))</f>
        <v>1.3599399491162965</v>
      </c>
      <c r="J26" s="1">
        <f ca="1"/>
        <v>1.4585898401575301</v>
      </c>
      <c r="L26" s="1">
        <f t="shared" ca="1" si="0"/>
        <v>0.91307553612643311</v>
      </c>
      <c r="M26" s="1">
        <f t="shared" ca="1" si="1"/>
        <v>0.92766098419644327</v>
      </c>
      <c r="O26" s="2">
        <f t="shared" ca="1" si="3"/>
        <v>2.5557930644974507E-2</v>
      </c>
      <c r="P26" s="2">
        <f t="shared" ca="1" si="3"/>
        <v>3.108526719831416E-2</v>
      </c>
    </row>
    <row r="27" spans="1:16" x14ac:dyDescent="0.25">
      <c r="A27" s="2">
        <v>5.4236069583469054E-3</v>
      </c>
      <c r="B27" s="2">
        <v>6.7762312537581297E-3</v>
      </c>
      <c r="F27" s="1">
        <f t="shared" ca="1" si="2"/>
        <v>-0.91327120836542142</v>
      </c>
      <c r="G27" s="1">
        <f t="shared" ca="1" si="2"/>
        <v>-0.60140400810114569</v>
      </c>
      <c r="I27" s="1">
        <f t="array" aca="1" ref="I27:J27" ca="1">TRANSPOSE(MMULT($D$11:$E$12,TRANSPOSE(F27:G27)))</f>
        <v>-0.91327120836525566</v>
      </c>
      <c r="J27" s="1">
        <f ca="1"/>
        <v>-0.96995994045927914</v>
      </c>
      <c r="L27" s="1">
        <f t="shared" ca="1" si="0"/>
        <v>0.18054996048629446</v>
      </c>
      <c r="M27" s="1">
        <f t="shared" ca="1" si="1"/>
        <v>0.1660332302027997</v>
      </c>
      <c r="O27" s="2">
        <f t="shared" ca="1" si="3"/>
        <v>-1.768613759633228E-2</v>
      </c>
      <c r="P27" s="2">
        <f t="shared" ca="1" si="3"/>
        <v>-2.150124445704522E-2</v>
      </c>
    </row>
    <row r="28" spans="1:16" x14ac:dyDescent="0.25">
      <c r="A28" s="2">
        <v>1.8872008111786208E-2</v>
      </c>
      <c r="B28" s="2">
        <v>-1.9741571379255354E-3</v>
      </c>
      <c r="F28" s="1">
        <f t="shared" ca="1" si="2"/>
        <v>-1.9050792824863845</v>
      </c>
      <c r="G28" s="1">
        <f t="shared" ca="1" si="2"/>
        <v>0.66654389133259895</v>
      </c>
      <c r="I28" s="1">
        <f t="array" aca="1" ref="I28:J28" ca="1">TRANSPOSE(MMULT($D$11:$E$12,TRANSPOSE(F28:G28)))</f>
        <v>-1.9050792824860387</v>
      </c>
      <c r="J28" s="1">
        <f ca="1"/>
        <v>-0.34533483966702694</v>
      </c>
      <c r="L28" s="1">
        <f t="shared" ca="1" si="0"/>
        <v>2.838488300722012E-2</v>
      </c>
      <c r="M28" s="1">
        <f t="shared" ca="1" si="1"/>
        <v>0.36492132878636674</v>
      </c>
      <c r="O28" s="2">
        <f t="shared" ca="1" si="3"/>
        <v>-3.6553639587249373E-2</v>
      </c>
      <c r="P28" s="2">
        <f t="shared" ca="1" si="3"/>
        <v>-7.975948247263916E-3</v>
      </c>
    </row>
    <row r="29" spans="1:16" x14ac:dyDescent="0.25">
      <c r="A29" s="2">
        <v>5.3803577890680849E-4</v>
      </c>
      <c r="B29" s="2">
        <v>3.592276643929501E-4</v>
      </c>
      <c r="F29" s="1">
        <f t="shared" ca="1" si="2"/>
        <v>1.0939742790411005</v>
      </c>
      <c r="G29" s="1">
        <f t="shared" ca="1" si="2"/>
        <v>-0.52265376116580298</v>
      </c>
      <c r="I29" s="1">
        <f t="array" aca="1" ref="I29:J29" ca="1">TRANSPOSE(MMULT($D$11:$E$12,TRANSPOSE(F29:G29)))</f>
        <v>1.0939742790409019</v>
      </c>
      <c r="J29" s="1">
        <f ca="1"/>
        <v>7.6109472850671156E-2</v>
      </c>
      <c r="L29" s="1">
        <f t="shared" ca="1" si="0"/>
        <v>0.86301687044526121</v>
      </c>
      <c r="M29" s="1">
        <f t="shared" ca="1" si="1"/>
        <v>0.53033399812102666</v>
      </c>
      <c r="O29" s="2">
        <f t="shared" ca="1" si="3"/>
        <v>2.0498375333215659E-2</v>
      </c>
      <c r="P29" s="2">
        <f t="shared" ca="1" si="3"/>
        <v>1.1497803785944429E-3</v>
      </c>
    </row>
    <row r="30" spans="1:16" x14ac:dyDescent="0.25">
      <c r="A30" s="2">
        <v>-1.0768528848098646E-2</v>
      </c>
      <c r="B30" s="2">
        <v>-1.4652939449728168E-2</v>
      </c>
      <c r="F30" s="1">
        <f t="shared" ca="1" si="2"/>
        <v>1.0340283201226192</v>
      </c>
      <c r="G30" s="1">
        <f t="shared" ca="1" si="2"/>
        <v>-0.10150744617367778</v>
      </c>
      <c r="I30" s="1">
        <f t="array" aca="1" ref="I30:J30" ca="1">TRANSPOSE(MMULT($D$11:$E$12,TRANSPOSE(F30:G30)))</f>
        <v>1.0340283201224316</v>
      </c>
      <c r="J30" s="1">
        <f ca="1"/>
        <v>0.41478180415209959</v>
      </c>
      <c r="L30" s="1">
        <f t="shared" ca="1" si="0"/>
        <v>0.849438538026138</v>
      </c>
      <c r="M30" s="1">
        <f t="shared" ca="1" si="1"/>
        <v>0.66084917947916699</v>
      </c>
      <c r="O30" s="2">
        <f t="shared" ca="1" si="3"/>
        <v>1.9358002988249284E-2</v>
      </c>
      <c r="P30" s="2">
        <f t="shared" ca="1" si="3"/>
        <v>8.4832090113840797E-3</v>
      </c>
    </row>
    <row r="31" spans="1:16" x14ac:dyDescent="0.25">
      <c r="A31" s="2">
        <v>-6.744364650110031E-3</v>
      </c>
      <c r="B31" s="2">
        <v>1.7600295858540571E-3</v>
      </c>
      <c r="F31" s="1">
        <f t="shared" ca="1" si="2"/>
        <v>0.46790889205000841</v>
      </c>
      <c r="G31" s="1">
        <f t="shared" ca="1" si="2"/>
        <v>1.3546410605470831</v>
      </c>
      <c r="I31" s="1">
        <f t="array" aca="1" ref="I31:J31" ca="1">TRANSPOSE(MMULT($D$11:$E$12,TRANSPOSE(F31:G31)))</f>
        <v>0.46790889204992347</v>
      </c>
      <c r="J31" s="1">
        <f ca="1"/>
        <v>1.4110528850957507</v>
      </c>
      <c r="L31" s="1">
        <f t="shared" ca="1" si="0"/>
        <v>0.68007512784247948</v>
      </c>
      <c r="M31" s="1">
        <f t="shared" ca="1" si="1"/>
        <v>0.92088548957012339</v>
      </c>
      <c r="O31" s="2">
        <f t="shared" ca="1" si="3"/>
        <v>8.5885207517555056E-3</v>
      </c>
      <c r="P31" s="2">
        <f t="shared" ca="1" si="3"/>
        <v>3.0055927523513788E-2</v>
      </c>
    </row>
    <row r="32" spans="1:16" x14ac:dyDescent="0.25">
      <c r="A32" s="2">
        <v>3.1834977016155087E-3</v>
      </c>
      <c r="B32" s="2">
        <v>1.5075435582611183E-2</v>
      </c>
      <c r="F32" s="1">
        <f t="shared" ca="1" si="2"/>
        <v>0.67799599180535819</v>
      </c>
      <c r="G32" s="1">
        <f t="shared" ca="1" si="2"/>
        <v>3.4588081427646251E-2</v>
      </c>
      <c r="I32" s="1">
        <f t="array" aca="1" ref="I32:J32" ca="1">TRANSPOSE(MMULT($D$11:$E$12,TRANSPOSE(F32:G32)))</f>
        <v>0.67799599180523507</v>
      </c>
      <c r="J32" s="1">
        <f ca="1"/>
        <v>0.36031290557989198</v>
      </c>
      <c r="L32" s="1">
        <f t="shared" ca="1" si="0"/>
        <v>0.75111288269976284</v>
      </c>
      <c r="M32" s="1">
        <f t="shared" ca="1" si="1"/>
        <v>0.64069342534141249</v>
      </c>
      <c r="O32" s="2">
        <f t="shared" ca="1" si="3"/>
        <v>1.2585079033873944E-2</v>
      </c>
      <c r="P32" s="2">
        <f t="shared" ca="1" si="3"/>
        <v>7.3037687575818726E-3</v>
      </c>
    </row>
    <row r="33" spans="1:16" x14ac:dyDescent="0.25">
      <c r="A33" s="2">
        <v>3.6152369362748189E-3</v>
      </c>
      <c r="B33" s="2">
        <v>3.1606908263913732E-3</v>
      </c>
      <c r="F33" s="1">
        <f t="shared" ca="1" si="2"/>
        <v>-9.850937816183955E-2</v>
      </c>
      <c r="G33" s="1">
        <f t="shared" ca="1" si="2"/>
        <v>-1.1459525767741188</v>
      </c>
      <c r="I33" s="1">
        <f t="array" aca="1" ref="I33:J33" ca="1">TRANSPOSE(MMULT($D$11:$E$12,TRANSPOSE(F33:G33)))</f>
        <v>-9.8509378161821662E-2</v>
      </c>
      <c r="J33" s="1">
        <f ca="1"/>
        <v>-1.048917291881444</v>
      </c>
      <c r="L33" s="1">
        <f t="shared" ca="1" si="0"/>
        <v>0.46076391274250816</v>
      </c>
      <c r="M33" s="1">
        <f t="shared" ca="1" si="1"/>
        <v>0.14710809311836631</v>
      </c>
      <c r="O33" s="2">
        <f t="shared" ca="1" si="3"/>
        <v>-2.1866464602936981E-3</v>
      </c>
      <c r="P33" s="2">
        <f t="shared" ca="1" si="3"/>
        <v>-2.3210944506835193E-2</v>
      </c>
    </row>
    <row r="34" spans="1:16" x14ac:dyDescent="0.25">
      <c r="A34" s="2">
        <v>1.300429515384249E-2</v>
      </c>
      <c r="B34" s="2">
        <v>-7.6805063542200302E-3</v>
      </c>
      <c r="F34" s="1">
        <f t="shared" ca="1" si="2"/>
        <v>1.4697837079128744</v>
      </c>
      <c r="G34" s="1">
        <f t="shared" ca="1" si="2"/>
        <v>1.1493769769640076</v>
      </c>
      <c r="I34" s="1">
        <f t="array" aca="1" ref="I34:J34" ca="1">TRANSPOSE(MMULT($D$11:$E$12,TRANSPOSE(F34:G34)))</f>
        <v>1.4697837079126075</v>
      </c>
      <c r="J34" s="1">
        <f ca="1"/>
        <v>1.7195515439378628</v>
      </c>
      <c r="L34" s="1">
        <f t="shared" ca="1" si="0"/>
        <v>0.92918982849649534</v>
      </c>
      <c r="M34" s="1">
        <f t="shared" ca="1" si="1"/>
        <v>0.95724300466974332</v>
      </c>
      <c r="O34" s="2">
        <f t="shared" ca="1" si="3"/>
        <v>2.7647525791310069E-2</v>
      </c>
      <c r="P34" s="2">
        <f t="shared" ca="1" si="3"/>
        <v>3.6735991670579844E-2</v>
      </c>
    </row>
    <row r="35" spans="1:16" x14ac:dyDescent="0.25">
      <c r="A35" s="2">
        <v>-3.2116992486863395E-3</v>
      </c>
      <c r="B35" s="2">
        <v>1.0267214502648654E-2</v>
      </c>
      <c r="F35" s="1">
        <f t="shared" ca="1" si="2"/>
        <v>-0.85239955551118329</v>
      </c>
      <c r="G35" s="1">
        <f t="shared" ca="1" si="2"/>
        <v>0.6116769578501754</v>
      </c>
      <c r="I35" s="1">
        <f t="array" aca="1" ref="I35:J35" ca="1">TRANSPOSE(MMULT($D$11:$E$12,TRANSPOSE(F35:G35)))</f>
        <v>-0.85239955551102853</v>
      </c>
      <c r="J35" s="1">
        <f ca="1"/>
        <v>0.11926701289753155</v>
      </c>
      <c r="L35" s="1">
        <f t="shared" ca="1" si="0"/>
        <v>0.19699618338904423</v>
      </c>
      <c r="M35" s="1">
        <f t="shared" ca="1" si="1"/>
        <v>0.54746809159129728</v>
      </c>
      <c r="O35" s="2">
        <f t="shared" ca="1" si="3"/>
        <v>-1.6528155461093388E-2</v>
      </c>
      <c r="P35" s="2">
        <f t="shared" ca="1" si="3"/>
        <v>2.0842905545046348E-3</v>
      </c>
    </row>
    <row r="36" spans="1:16" x14ac:dyDescent="0.25">
      <c r="A36" s="2">
        <v>1.9084256090741446E-2</v>
      </c>
      <c r="B36" s="2">
        <v>-6.5540795282671037E-3</v>
      </c>
      <c r="F36" s="1">
        <f t="shared" ca="1" si="2"/>
        <v>1.3529835435489088</v>
      </c>
      <c r="G36" s="1">
        <f t="shared" ca="1" si="2"/>
        <v>-0.70074035254885259</v>
      </c>
      <c r="I36" s="1">
        <f t="array" aca="1" ref="I36:J36" ca="1">TRANSPOSE(MMULT($D$11:$E$12,TRANSPOSE(F36:G36)))</f>
        <v>1.3529835435486632</v>
      </c>
      <c r="J36" s="1">
        <f ca="1"/>
        <v>4.666205104857557E-2</v>
      </c>
      <c r="L36" s="1">
        <f t="shared" ca="1" si="0"/>
        <v>0.91196955612024277</v>
      </c>
      <c r="M36" s="1">
        <f t="shared" ca="1" si="1"/>
        <v>0.51860871187142221</v>
      </c>
      <c r="O36" s="2">
        <f t="shared" ca="1" si="3"/>
        <v>2.5425596578211307E-2</v>
      </c>
      <c r="P36" s="2">
        <f t="shared" ca="1" si="3"/>
        <v>5.1214173425795113E-4</v>
      </c>
    </row>
    <row r="37" spans="1:16" x14ac:dyDescent="0.25">
      <c r="A37" s="2">
        <v>7.9181247200866972E-3</v>
      </c>
      <c r="B37" s="2">
        <v>-9.5803720972573118E-3</v>
      </c>
      <c r="F37" s="1">
        <f t="shared" ca="1" si="2"/>
        <v>0.37713855784386735</v>
      </c>
      <c r="G37" s="1">
        <f t="shared" ca="1" si="2"/>
        <v>-7.9084178880293413E-2</v>
      </c>
      <c r="I37" s="1">
        <f t="array" aca="1" ref="I37:J37" ca="1">TRANSPOSE(MMULT($D$11:$E$12,TRANSPOSE(F37:G37)))</f>
        <v>0.37713855784379891</v>
      </c>
      <c r="J37" s="1">
        <f ca="1"/>
        <v>0.11454276051362546</v>
      </c>
      <c r="L37" s="1">
        <f t="shared" ca="1" si="0"/>
        <v>0.64696468090744819</v>
      </c>
      <c r="M37" s="1">
        <f t="shared" ca="1" si="1"/>
        <v>0.54559622427762366</v>
      </c>
      <c r="O37" s="2">
        <f t="shared" ca="1" si="3"/>
        <v>6.8617658421743786E-3</v>
      </c>
      <c r="P37" s="2">
        <f t="shared" ca="1" si="3"/>
        <v>1.981994132569216E-3</v>
      </c>
    </row>
    <row r="38" spans="1:16" x14ac:dyDescent="0.25">
      <c r="A38" s="2">
        <v>1.5578162309454512E-3</v>
      </c>
      <c r="B38" s="2">
        <v>-1.3183265565866234E-2</v>
      </c>
      <c r="F38" s="1">
        <f t="shared" ca="1" si="2"/>
        <v>0.63433770209836504</v>
      </c>
      <c r="G38" s="1">
        <f t="shared" ca="1" si="2"/>
        <v>7.1311412220722542E-2</v>
      </c>
      <c r="I38" s="1">
        <f t="array" aca="1" ref="I38:J38" ca="1">TRANSPOSE(MMULT($D$11:$E$12,TRANSPOSE(F38:G38)))</f>
        <v>0.63433770209824991</v>
      </c>
      <c r="J38" s="1">
        <f ca="1"/>
        <v>0.37113337954690978</v>
      </c>
      <c r="L38" s="1">
        <f t="shared" ca="1" si="0"/>
        <v>0.737069771714152</v>
      </c>
      <c r="M38" s="1">
        <f t="shared" ca="1" si="1"/>
        <v>0.64473090483495699</v>
      </c>
      <c r="O38" s="2">
        <f t="shared" ca="1" si="3"/>
        <v>1.1754552554547994E-2</v>
      </c>
      <c r="P38" s="2">
        <f t="shared" ca="1" si="3"/>
        <v>7.5380694850878923E-3</v>
      </c>
    </row>
    <row r="39" spans="1:16" x14ac:dyDescent="0.25">
      <c r="A39" s="2">
        <v>3.0170860355913684E-3</v>
      </c>
      <c r="B39" s="2">
        <v>8.4039225502135877E-3</v>
      </c>
      <c r="F39" s="1">
        <f t="shared" ca="1" si="2"/>
        <v>-0.40896918229799989</v>
      </c>
      <c r="G39" s="1">
        <f t="shared" ca="1" si="2"/>
        <v>-7.7949170259377157E-2</v>
      </c>
      <c r="I39" s="1">
        <f t="array" aca="1" ref="I39:J39" ca="1">TRANSPOSE(MMULT($D$11:$E$12,TRANSPOSE(F39:G39)))</f>
        <v>-0.40896918229792567</v>
      </c>
      <c r="J39" s="1">
        <f ca="1"/>
        <v>-0.26720431484529833</v>
      </c>
      <c r="L39" s="1">
        <f t="shared" ca="1" si="0"/>
        <v>0.34128113864306908</v>
      </c>
      <c r="M39" s="1">
        <f t="shared" ca="1" si="1"/>
        <v>0.3946559270673643</v>
      </c>
      <c r="O39" s="2">
        <f t="shared" ca="1" si="3"/>
        <v>-8.092628802522886E-3</v>
      </c>
      <c r="P39" s="2">
        <f t="shared" ca="1" si="3"/>
        <v>-6.2841518562779921E-3</v>
      </c>
    </row>
    <row r="40" spans="1:16" x14ac:dyDescent="0.25">
      <c r="A40" s="2">
        <v>-2.2717638780977716E-3</v>
      </c>
      <c r="B40" s="2">
        <v>-1.9596462982492211E-2</v>
      </c>
      <c r="F40" s="1">
        <f t="shared" ca="1" si="2"/>
        <v>0.30833468194038649</v>
      </c>
      <c r="G40" s="1">
        <f t="shared" ca="1" si="2"/>
        <v>0.1600265377709445</v>
      </c>
      <c r="I40" s="1">
        <f t="array" aca="1" ref="I40:J40" ca="1">TRANSPOSE(MMULT($D$11:$E$12,TRANSPOSE(F40:G40)))</f>
        <v>0.30833468194033053</v>
      </c>
      <c r="J40" s="1">
        <f ca="1"/>
        <v>0.28989972477615844</v>
      </c>
      <c r="L40" s="1">
        <f t="shared" ca="1" si="0"/>
        <v>0.62108616082760393</v>
      </c>
      <c r="M40" s="1">
        <f t="shared" ca="1" si="1"/>
        <v>0.61405352390703705</v>
      </c>
      <c r="O40" s="2">
        <f t="shared" ca="1" si="3"/>
        <v>5.5528863326560788E-3</v>
      </c>
      <c r="P40" s="2">
        <f t="shared" ca="1" si="3"/>
        <v>5.779079586052515E-3</v>
      </c>
    </row>
    <row r="41" spans="1:16" x14ac:dyDescent="0.25">
      <c r="A41" s="2">
        <v>-4.0011709803739011E-3</v>
      </c>
      <c r="B41" s="2">
        <v>-5.3326845539878494E-3</v>
      </c>
      <c r="F41" s="1">
        <f t="shared" ca="1" si="2"/>
        <v>1.983063969327068</v>
      </c>
      <c r="G41" s="1">
        <f t="shared" ca="1" si="2"/>
        <v>4.4144819082709306E-2</v>
      </c>
      <c r="I41" s="1">
        <f t="array" aca="1" ref="I41:J41" ca="1">TRANSPOSE(MMULT($D$11:$E$12,TRANSPOSE(F41:G41)))</f>
        <v>1.983063969326708</v>
      </c>
      <c r="J41" s="1">
        <f ca="1"/>
        <v>1.0040691622126099</v>
      </c>
      <c r="L41" s="1">
        <f t="shared" ca="1" si="0"/>
        <v>0.97631985770043228</v>
      </c>
      <c r="M41" s="1">
        <f t="shared" ca="1" si="1"/>
        <v>0.84232736091739635</v>
      </c>
      <c r="O41" s="2">
        <f t="shared" ca="1" si="3"/>
        <v>3.7411830606749227E-2</v>
      </c>
      <c r="P41" s="2">
        <f t="shared" ca="1" si="3"/>
        <v>2.1243320733341196E-2</v>
      </c>
    </row>
    <row r="42" spans="1:16" x14ac:dyDescent="0.25">
      <c r="A42" s="2">
        <v>1.7251901275537548E-2</v>
      </c>
      <c r="B42" s="2">
        <v>-4.5802320331163196E-3</v>
      </c>
      <c r="F42" s="1">
        <f t="shared" ca="1" si="2"/>
        <v>-0.41892807938773247</v>
      </c>
      <c r="G42" s="1">
        <f t="shared" ca="1" si="2"/>
        <v>-1.319428516141198</v>
      </c>
      <c r="I42" s="1">
        <f t="array" aca="1" ref="I42:J42" ca="1">TRANSPOSE(MMULT($D$11:$E$12,TRANSPOSE(F42:G42)))</f>
        <v>-0.41892807938765642</v>
      </c>
      <c r="J42" s="1">
        <f ca="1"/>
        <v>-1.3564481078554018</v>
      </c>
      <c r="L42" s="1">
        <f t="shared" ca="1" si="0"/>
        <v>0.33763434750946475</v>
      </c>
      <c r="M42" s="1">
        <f t="shared" ca="1" si="1"/>
        <v>8.747831772419673E-2</v>
      </c>
      <c r="O42" s="2">
        <f t="shared" ca="1" si="3"/>
        <v>-8.2820802856986026E-3</v>
      </c>
      <c r="P42" s="2">
        <f t="shared" ca="1" si="3"/>
        <v>-2.9870051504629333E-2</v>
      </c>
    </row>
    <row r="43" spans="1:16" x14ac:dyDescent="0.25">
      <c r="A43" s="2">
        <v>6.5440800263787463E-3</v>
      </c>
      <c r="B43" s="2">
        <v>-1.1022077011308241E-2</v>
      </c>
      <c r="F43" s="1">
        <f t="shared" ca="1" si="2"/>
        <v>0.19610095425947147</v>
      </c>
      <c r="G43" s="1">
        <f t="shared" ca="1" si="2"/>
        <v>-1.8263115129603684</v>
      </c>
      <c r="I43" s="1">
        <f t="array" aca="1" ref="I43:J43" ca="1">TRANSPOSE(MMULT($D$11:$E$12,TRANSPOSE(F43:G43)))</f>
        <v>0.19610095425943586</v>
      </c>
      <c r="J43" s="1">
        <f ca="1"/>
        <v>-1.4997511912637231</v>
      </c>
      <c r="L43" s="1">
        <f t="shared" ca="1" si="0"/>
        <v>0.57773442531476737</v>
      </c>
      <c r="M43" s="1">
        <f t="shared" ca="1" si="1"/>
        <v>6.6839432391993414E-2</v>
      </c>
      <c r="O43" s="2">
        <f t="shared" ca="1" si="3"/>
        <v>3.4178259961645517E-3</v>
      </c>
      <c r="P43" s="2">
        <f t="shared" ca="1" si="3"/>
        <v>-3.2973059450378178E-2</v>
      </c>
    </row>
    <row r="44" spans="1:16" x14ac:dyDescent="0.25">
      <c r="A44" s="2">
        <v>-1.6434690763078678E-2</v>
      </c>
      <c r="B44" s="2">
        <v>0</v>
      </c>
      <c r="F44" s="1">
        <f t="shared" ca="1" si="2"/>
        <v>0.21204940721127538</v>
      </c>
      <c r="G44" s="1">
        <f t="shared" ca="1" si="2"/>
        <v>-1.3793258278460294</v>
      </c>
      <c r="I44" s="1">
        <f t="array" aca="1" ref="I44:J44" ca="1">TRANSPOSE(MMULT($D$11:$E$12,TRANSPOSE(F44:G44)))</f>
        <v>0.21204940721123688</v>
      </c>
      <c r="J44" s="1">
        <f ca="1"/>
        <v>-1.1015576335576109</v>
      </c>
      <c r="L44" s="1">
        <f t="shared" ca="1" si="0"/>
        <v>0.58396575536595119</v>
      </c>
      <c r="M44" s="1">
        <f t="shared" ca="1" si="1"/>
        <v>0.13532701776271297</v>
      </c>
      <c r="O44" s="2">
        <f t="shared" ca="1" si="3"/>
        <v>3.7212188356379561E-3</v>
      </c>
      <c r="P44" s="2">
        <f t="shared" ca="1" si="3"/>
        <v>-2.4350790172421196E-2</v>
      </c>
    </row>
    <row r="45" spans="1:16" x14ac:dyDescent="0.25">
      <c r="A45" s="2">
        <v>-2.5957608475749394E-3</v>
      </c>
      <c r="B45" s="2">
        <v>-9.964224224072676E-3</v>
      </c>
      <c r="F45" s="1">
        <f t="shared" ca="1" si="2"/>
        <v>0.31911926098367288</v>
      </c>
      <c r="G45" s="1">
        <f t="shared" ca="1" si="2"/>
        <v>-0.94314237447287919</v>
      </c>
      <c r="I45" s="1">
        <f t="array" aca="1" ref="I45:J45" ca="1">TRANSPOSE(MMULT($D$11:$E$12,TRANSPOSE(F45:G45)))</f>
        <v>0.31911926098361493</v>
      </c>
      <c r="J45" s="1">
        <f ca="1"/>
        <v>-0.66843450713110153</v>
      </c>
      <c r="L45" s="1">
        <f t="shared" ca="1" si="0"/>
        <v>0.62518196074697374</v>
      </c>
      <c r="M45" s="1">
        <f t="shared" ca="1" si="1"/>
        <v>0.25192813738569086</v>
      </c>
      <c r="O45" s="2">
        <f t="shared" ca="1" si="3"/>
        <v>5.7580450441847651E-3</v>
      </c>
      <c r="P45" s="2">
        <f t="shared" ca="1" si="3"/>
        <v>-1.4972174787296779E-2</v>
      </c>
    </row>
    <row r="46" spans="1:16" x14ac:dyDescent="0.25">
      <c r="A46" s="2">
        <v>-6.0524466526324216E-3</v>
      </c>
      <c r="B46" s="2">
        <v>1.1474470564769215E-3</v>
      </c>
      <c r="F46" s="1">
        <f t="shared" ca="1" si="2"/>
        <v>-0.66027029413915483</v>
      </c>
      <c r="G46" s="1">
        <f t="shared" ca="1" si="2"/>
        <v>1.3249443750090875</v>
      </c>
      <c r="I46" s="1">
        <f t="array" aca="1" ref="I46:J46" ca="1">TRANSPOSE(MMULT($D$11:$E$12,TRANSPOSE(F46:G46)))</f>
        <v>-0.66027029413903493</v>
      </c>
      <c r="J46" s="1">
        <f ca="1"/>
        <v>0.83582822721939598</v>
      </c>
      <c r="L46" s="1">
        <f t="shared" ca="1" si="0"/>
        <v>0.25454019480219214</v>
      </c>
      <c r="M46" s="1">
        <f t="shared" ca="1" si="1"/>
        <v>0.79837422787898338</v>
      </c>
      <c r="O46" s="2">
        <f t="shared" ca="1" si="3"/>
        <v>-1.2873215240261845E-2</v>
      </c>
      <c r="P46" s="2">
        <f t="shared" ca="1" si="3"/>
        <v>1.7600321952940614E-2</v>
      </c>
    </row>
    <row r="47" spans="1:16" x14ac:dyDescent="0.25">
      <c r="A47" s="2">
        <v>5.575607629020974E-3</v>
      </c>
      <c r="B47" s="2">
        <v>1.0173608071683066E-2</v>
      </c>
      <c r="F47" s="1">
        <f t="shared" ca="1" si="2"/>
        <v>0.67920864357958144</v>
      </c>
      <c r="G47" s="1">
        <f t="shared" ca="1" si="2"/>
        <v>0.6934284180271495</v>
      </c>
      <c r="I47" s="1">
        <f t="array" aca="1" ref="I47:J47" ca="1">TRANSPOSE(MMULT($D$11:$E$12,TRANSPOSE(F47:G47)))</f>
        <v>0.67920864357945809</v>
      </c>
      <c r="J47" s="1">
        <f ca="1"/>
        <v>0.93638062064197736</v>
      </c>
      <c r="L47" s="1">
        <f t="shared" ca="1" si="0"/>
        <v>0.75149716432027647</v>
      </c>
      <c r="M47" s="1">
        <f t="shared" ca="1" si="1"/>
        <v>0.82546137390942254</v>
      </c>
      <c r="O47" s="2">
        <f t="shared" ca="1" si="3"/>
        <v>1.2608147720610254E-2</v>
      </c>
      <c r="P47" s="2">
        <f t="shared" ca="1" si="3"/>
        <v>1.9777629435329479E-2</v>
      </c>
    </row>
    <row r="48" spans="1:16" x14ac:dyDescent="0.25">
      <c r="A48" s="2">
        <v>2.3518190775596387E-4</v>
      </c>
      <c r="B48" s="2">
        <v>1.5177647365466914E-2</v>
      </c>
      <c r="F48" s="1">
        <f t="shared" ca="1" si="2"/>
        <v>-1.1663249904009476</v>
      </c>
      <c r="G48" s="1">
        <f t="shared" ca="1" si="2"/>
        <v>-1.2258055178472615</v>
      </c>
      <c r="I48" s="1">
        <f t="array" aca="1" ref="I48:J48" ca="1">TRANSPOSE(MMULT($D$11:$E$12,TRANSPOSE(F48:G48)))</f>
        <v>-1.166324990400736</v>
      </c>
      <c r="J48" s="1">
        <f ca="1"/>
        <v>-1.6385622477632604</v>
      </c>
      <c r="L48" s="1">
        <f t="shared" ca="1" si="0"/>
        <v>0.12174153648755751</v>
      </c>
      <c r="M48" s="1">
        <f t="shared" ca="1" si="1"/>
        <v>5.065223007747293E-2</v>
      </c>
      <c r="O48" s="2">
        <f t="shared" ca="1" si="3"/>
        <v>-2.250006567470168E-2</v>
      </c>
      <c r="P48" s="2">
        <f t="shared" ca="1" si="3"/>
        <v>-3.597879945981363E-2</v>
      </c>
    </row>
    <row r="49" spans="1:16" x14ac:dyDescent="0.25">
      <c r="A49" s="2">
        <v>4.1587961641898694E-3</v>
      </c>
      <c r="B49" s="2">
        <v>3.4105387599471771E-3</v>
      </c>
      <c r="F49" s="1">
        <f t="shared" ca="1" si="2"/>
        <v>-0.11318738814775146</v>
      </c>
      <c r="G49" s="1">
        <f t="shared" ca="1" si="2"/>
        <v>-1.1406112597082689</v>
      </c>
      <c r="I49" s="1">
        <f t="array" aca="1" ref="I49:J49" ca="1">TRANSPOSE(MMULT($D$11:$E$12,TRANSPOSE(F49:G49)))</f>
        <v>-0.11318738814773092</v>
      </c>
      <c r="J49" s="1">
        <f ca="1"/>
        <v>-1.051398209808152</v>
      </c>
      <c r="L49" s="1">
        <f t="shared" ca="1" si="0"/>
        <v>0.454940997105166</v>
      </c>
      <c r="M49" s="1">
        <f t="shared" ca="1" si="1"/>
        <v>0.14653786884542039</v>
      </c>
      <c r="O49" s="2">
        <f t="shared" ca="1" si="3"/>
        <v>-2.4658712315553609E-3</v>
      </c>
      <c r="P49" s="2">
        <f t="shared" ca="1" si="3"/>
        <v>-2.3264664970179212E-2</v>
      </c>
    </row>
    <row r="50" spans="1:16" x14ac:dyDescent="0.25">
      <c r="A50" s="2">
        <v>-5.5053072050868348E-3</v>
      </c>
      <c r="B50" s="2">
        <v>-1.666653228221799E-2</v>
      </c>
      <c r="F50" s="1">
        <f t="shared" ca="1" si="2"/>
        <v>1.4883428449474738</v>
      </c>
      <c r="G50" s="1">
        <f t="shared" ca="1" si="2"/>
        <v>-0.20532967928320905</v>
      </c>
      <c r="I50" s="1">
        <f t="array" aca="1" ref="I50:J50" ca="1">TRANSPOSE(MMULT($D$11:$E$12,TRANSPOSE(F50:G50)))</f>
        <v>1.4883428449472036</v>
      </c>
      <c r="J50" s="1">
        <f ca="1"/>
        <v>0.54529188653228089</v>
      </c>
      <c r="L50" s="1">
        <f t="shared" ca="1" si="0"/>
        <v>0.93166974936869273</v>
      </c>
      <c r="M50" s="1">
        <f t="shared" ca="1" si="1"/>
        <v>0.70722360830312025</v>
      </c>
      <c r="O50" s="2">
        <f t="shared" ca="1" si="3"/>
        <v>2.8000582561149692E-2</v>
      </c>
      <c r="P50" s="2">
        <f t="shared" ca="1" si="3"/>
        <v>1.1309204188836946E-2</v>
      </c>
    </row>
    <row r="51" spans="1:16" x14ac:dyDescent="0.25">
      <c r="A51" s="2">
        <v>-5.5423606660080947E-3</v>
      </c>
      <c r="B51" s="2">
        <v>-9.1053427053945663E-3</v>
      </c>
      <c r="F51" s="1">
        <f t="shared" ca="1" si="2"/>
        <v>-1.0436082602056416</v>
      </c>
      <c r="G51" s="1">
        <f t="shared" ca="1" si="2"/>
        <v>1.8846496364365951E-2</v>
      </c>
      <c r="I51" s="1">
        <f t="array" aca="1" ref="I51:J51" ca="1">TRANSPOSE(MMULT($D$11:$E$12,TRANSPOSE(F51:G51)))</f>
        <v>-1.0436082602054522</v>
      </c>
      <c r="J51" s="1">
        <f ca="1"/>
        <v>-0.49164792904849175</v>
      </c>
      <c r="L51" s="1">
        <f t="shared" ca="1" si="0"/>
        <v>0.14833333482951719</v>
      </c>
      <c r="M51" s="1">
        <f t="shared" ca="1" si="1"/>
        <v>0.31148412733995579</v>
      </c>
      <c r="O51" s="2">
        <f t="shared" ca="1" si="3"/>
        <v>-2.0165583619460446E-2</v>
      </c>
      <c r="P51" s="2">
        <f t="shared" ca="1" si="3"/>
        <v>-1.114413324454072E-2</v>
      </c>
    </row>
    <row r="52" spans="1:16" x14ac:dyDescent="0.25">
      <c r="A52" s="2">
        <v>4.1874843775461619E-3</v>
      </c>
      <c r="B52" s="2">
        <v>2.2229632191120548E-4</v>
      </c>
      <c r="F52" s="1">
        <f t="shared" ca="1" si="2"/>
        <v>0.32151111811587418</v>
      </c>
      <c r="G52" s="1">
        <f t="shared" ca="1" si="2"/>
        <v>0.70789214886132457</v>
      </c>
      <c r="I52" s="1">
        <f t="array" aca="1" ref="I52:J52" ca="1">TRANSPOSE(MMULT($D$11:$E$12,TRANSPOSE(F52:G52)))</f>
        <v>0.32151111811581584</v>
      </c>
      <c r="J52" s="1">
        <f ca="1"/>
        <v>0.77485924280960283</v>
      </c>
      <c r="L52" s="1">
        <f t="shared" ca="1" si="0"/>
        <v>0.62608845594099705</v>
      </c>
      <c r="M52" s="1">
        <f t="shared" ca="1" si="1"/>
        <v>0.78078858103401982</v>
      </c>
      <c r="O52" s="2">
        <f t="shared" ca="1" si="3"/>
        <v>5.8035461551167317E-3</v>
      </c>
      <c r="P52" s="2">
        <f t="shared" ca="1" si="3"/>
        <v>1.6280132334069917E-2</v>
      </c>
    </row>
    <row r="53" spans="1:16" x14ac:dyDescent="0.25">
      <c r="A53" s="2">
        <v>3.491454722065314E-3</v>
      </c>
      <c r="B53" s="2">
        <v>-2.2229632191124286E-4</v>
      </c>
      <c r="F53" s="1">
        <f t="shared" ca="1" si="2"/>
        <v>0.38091474097809758</v>
      </c>
      <c r="G53" s="1">
        <f t="shared" ca="1" si="2"/>
        <v>-0.81648417561497111</v>
      </c>
      <c r="I53" s="1">
        <f t="array" aca="1" ref="I53:J53" ca="1">TRANSPOSE(MMULT($D$11:$E$12,TRANSPOSE(F53:G53)))</f>
        <v>0.38091474097802841</v>
      </c>
      <c r="J53" s="1">
        <f ca="1"/>
        <v>-0.52771551143978734</v>
      </c>
      <c r="L53" s="1">
        <f t="shared" ca="1" si="0"/>
        <v>0.64836674303922215</v>
      </c>
      <c r="M53" s="1">
        <f t="shared" ca="1" si="1"/>
        <v>0.29884840278584035</v>
      </c>
      <c r="O53" s="2">
        <f t="shared" ca="1" si="3"/>
        <v>6.933601457009741E-3</v>
      </c>
      <c r="P53" s="2">
        <f t="shared" ca="1" si="3"/>
        <v>-1.1925121288079519E-2</v>
      </c>
    </row>
    <row r="54" spans="1:16" x14ac:dyDescent="0.25">
      <c r="A54" s="2">
        <v>-2.3589925434246064E-3</v>
      </c>
      <c r="B54" s="2">
        <v>-1.3815378033459247E-2</v>
      </c>
      <c r="F54" s="1">
        <f t="shared" ca="1" si="2"/>
        <v>-1.5844033975479963</v>
      </c>
      <c r="G54" s="1">
        <f t="shared" ca="1" si="2"/>
        <v>-1.5830555238404769</v>
      </c>
      <c r="I54" s="1">
        <f t="array" aca="1" ref="I54:J54" ca="1">TRANSPOSE(MMULT($D$11:$E$12,TRANSPOSE(F54:G54)))</f>
        <v>-1.5844033975477088</v>
      </c>
      <c r="J54" s="1">
        <f ca="1"/>
        <v>-2.1541625576544008</v>
      </c>
      <c r="L54" s="1">
        <f t="shared" ca="1" si="0"/>
        <v>5.6550974629228153E-2</v>
      </c>
      <c r="M54" s="1">
        <f t="shared" ca="1" si="1"/>
        <v>1.5613713017264082E-2</v>
      </c>
      <c r="O54" s="2">
        <f t="shared" ca="1" si="3"/>
        <v>-3.0453313268695711E-2</v>
      </c>
      <c r="P54" s="2">
        <f t="shared" ca="1" si="3"/>
        <v>-4.7143331445940365E-2</v>
      </c>
    </row>
    <row r="55" spans="1:16" x14ac:dyDescent="0.25">
      <c r="A55" s="2">
        <v>-1.254143371616329E-2</v>
      </c>
      <c r="B55" s="2">
        <v>2.8444556264565827E-2</v>
      </c>
      <c r="F55" s="1">
        <f t="shared" ca="1" si="2"/>
        <v>-0.211369969587551</v>
      </c>
      <c r="G55" s="1">
        <f t="shared" ca="1" si="2"/>
        <v>0.5831313675397003</v>
      </c>
      <c r="I55" s="1">
        <f t="array" aca="1" ref="I55:J55" ca="1">TRANSPOSE(MMULT($D$11:$E$12,TRANSPOSE(F55:G55)))</f>
        <v>-0.21136996958751264</v>
      </c>
      <c r="J55" s="1">
        <f ca="1"/>
        <v>0.40643642167537186</v>
      </c>
      <c r="L55" s="1">
        <f t="shared" ca="1" si="0"/>
        <v>0.41629929407664129</v>
      </c>
      <c r="M55" s="1">
        <f t="shared" ca="1" si="1"/>
        <v>0.6577890185021017</v>
      </c>
      <c r="O55" s="2">
        <f t="shared" ca="1" si="3"/>
        <v>-4.3336318387984804E-3</v>
      </c>
      <c r="P55" s="2">
        <f t="shared" ca="1" si="3"/>
        <v>8.3025025846995091E-3</v>
      </c>
    </row>
    <row r="56" spans="1:16" x14ac:dyDescent="0.25">
      <c r="A56" s="2">
        <v>9.9407542398348425E-3</v>
      </c>
      <c r="B56" s="2">
        <v>5.2755745200560233E-3</v>
      </c>
      <c r="F56" s="1">
        <f t="shared" ca="1" si="2"/>
        <v>0.17538250652006793</v>
      </c>
      <c r="G56" s="1">
        <f t="shared" ca="1" si="2"/>
        <v>1.1543502014884912</v>
      </c>
      <c r="I56" s="1">
        <f t="array" aca="1" ref="I56:J56" ca="1">TRANSPOSE(MMULT($D$11:$E$12,TRANSPOSE(F56:G56)))</f>
        <v>0.17538250652003609</v>
      </c>
      <c r="J56" s="1">
        <f ca="1"/>
        <v>1.0936801914636392</v>
      </c>
      <c r="L56" s="1">
        <f t="shared" ca="1" si="0"/>
        <v>0.56961045733958549</v>
      </c>
      <c r="M56" s="1">
        <f t="shared" ca="1" si="1"/>
        <v>0.86295236755312998</v>
      </c>
      <c r="O56" s="2">
        <f t="shared" ca="1" si="3"/>
        <v>3.0236919250960486E-3</v>
      </c>
      <c r="P56" s="2">
        <f t="shared" ca="1" si="3"/>
        <v>2.3183709796711024E-2</v>
      </c>
    </row>
    <row r="57" spans="1:16" x14ac:dyDescent="0.25">
      <c r="A57" s="2">
        <v>-1.3265342309537772E-2</v>
      </c>
      <c r="B57" s="2">
        <v>-4.587235579827177E-3</v>
      </c>
      <c r="F57" s="1">
        <f t="shared" ca="1" si="2"/>
        <v>1.5492893726461521</v>
      </c>
      <c r="G57" s="1">
        <f t="shared" ca="1" si="2"/>
        <v>-0.3745459653654063</v>
      </c>
      <c r="I57" s="1">
        <f t="array" aca="1" ref="I57:J57" ca="1">TRANSPOSE(MMULT($D$11:$E$12,TRANSPOSE(F57:G57)))</f>
        <v>1.5492893726458707</v>
      </c>
      <c r="J57" s="1">
        <f ca="1"/>
        <v>0.42716004498122856</v>
      </c>
      <c r="L57" s="1">
        <f t="shared" ca="1" si="0"/>
        <v>0.93934391334153078</v>
      </c>
      <c r="M57" s="1">
        <f t="shared" ca="1" si="1"/>
        <v>0.66536861957548554</v>
      </c>
      <c r="O57" s="2">
        <f t="shared" ca="1" si="3"/>
        <v>2.9159989065995352E-2</v>
      </c>
      <c r="P57" s="2">
        <f t="shared" ca="1" si="3"/>
        <v>8.7512407852555242E-3</v>
      </c>
    </row>
    <row r="58" spans="1:16" x14ac:dyDescent="0.25">
      <c r="A58" s="2">
        <v>-7.8140255261374449E-3</v>
      </c>
      <c r="B58" s="2">
        <v>1.3752580776049119E-3</v>
      </c>
      <c r="F58" s="1">
        <f t="shared" ca="1" si="2"/>
        <v>-1.1695309703048944</v>
      </c>
      <c r="G58" s="1">
        <f t="shared" ca="1" si="2"/>
        <v>-1.0492668639351146</v>
      </c>
      <c r="I58" s="1">
        <f t="array" aca="1" ref="I58:J58" ca="1">TRANSPOSE(MMULT($D$11:$E$12,TRANSPOSE(F58:G58)))</f>
        <v>-1.1695309703046821</v>
      </c>
      <c r="J58" s="1">
        <f ca="1"/>
        <v>-1.485921941612925</v>
      </c>
      <c r="L58" s="1">
        <f t="shared" ca="1" si="0"/>
        <v>0.12109488544380791</v>
      </c>
      <c r="M58" s="1">
        <f t="shared" ca="1" si="1"/>
        <v>6.8649884574412526E-2</v>
      </c>
      <c r="O58" s="2">
        <f t="shared" ca="1" si="3"/>
        <v>-2.2561054119743493E-2</v>
      </c>
      <c r="P58" s="2">
        <f t="shared" ca="1" si="3"/>
        <v>-3.267360831136884E-2</v>
      </c>
    </row>
    <row r="59" spans="1:16" x14ac:dyDescent="0.25">
      <c r="A59" s="2">
        <v>-1.8362288820732334E-2</v>
      </c>
      <c r="B59" s="2">
        <v>9.4504558115169317E-3</v>
      </c>
      <c r="F59" s="1">
        <f t="shared" ca="1" si="2"/>
        <v>0.23255081389893484</v>
      </c>
      <c r="G59" s="1">
        <f t="shared" ca="1" si="2"/>
        <v>-1.0745288259737777</v>
      </c>
      <c r="I59" s="1">
        <f t="array" aca="1" ref="I59:J59" ca="1">TRANSPOSE(MMULT($D$11:$E$12,TRANSPOSE(F59:G59)))</f>
        <v>0.23255081389889262</v>
      </c>
      <c r="J59" s="1">
        <f ca="1"/>
        <v>-0.8253448996378947</v>
      </c>
      <c r="L59" s="1">
        <f t="shared" ca="1" si="0"/>
        <v>0.59194488751780105</v>
      </c>
      <c r="M59" s="1">
        <f t="shared" ca="1" si="1"/>
        <v>0.20458790380547021</v>
      </c>
      <c r="O59" s="2">
        <f t="shared" ca="1" si="3"/>
        <v>4.1112240610328412E-3</v>
      </c>
      <c r="P59" s="2">
        <f t="shared" ca="1" si="3"/>
        <v>-1.8369828090623253E-2</v>
      </c>
    </row>
    <row r="60" spans="1:16" x14ac:dyDescent="0.25">
      <c r="A60" s="2">
        <v>6.6712930657244953E-3</v>
      </c>
      <c r="B60" s="2">
        <v>-4.6829777467763591E-3</v>
      </c>
      <c r="F60" s="1">
        <f t="shared" ca="1" si="2"/>
        <v>0.37491571721128641</v>
      </c>
      <c r="G60" s="1">
        <f t="shared" ca="1" si="2"/>
        <v>-1.1671265247622276</v>
      </c>
      <c r="I60" s="1">
        <f t="array" aca="1" ref="I60:J60" ca="1">TRANSPOSE(MMULT($D$11:$E$12,TRANSPOSE(F60:G60)))</f>
        <v>0.37491571721121836</v>
      </c>
      <c r="J60" s="1">
        <f ca="1"/>
        <v>-0.83691189365718732</v>
      </c>
      <c r="L60" s="1">
        <f t="shared" ca="1" si="0"/>
        <v>0.64613842519313947</v>
      </c>
      <c r="M60" s="1">
        <f t="shared" ca="1" si="1"/>
        <v>0.20132104721152513</v>
      </c>
      <c r="O60" s="2">
        <f t="shared" ca="1" si="3"/>
        <v>6.8194799895431825E-3</v>
      </c>
      <c r="P60" s="2">
        <f t="shared" ca="1" si="3"/>
        <v>-1.8620293562102503E-2</v>
      </c>
    </row>
    <row r="61" spans="1:16" x14ac:dyDescent="0.25">
      <c r="A61" s="2">
        <v>-1.8828850694508594E-2</v>
      </c>
      <c r="B61" s="2">
        <v>4.3510691884843049E-4</v>
      </c>
      <c r="F61" s="1">
        <f t="shared" ca="1" si="2"/>
        <v>-0.38918551317960487</v>
      </c>
      <c r="G61" s="1">
        <f t="shared" ca="1" si="2"/>
        <v>0.70364020906570535</v>
      </c>
      <c r="I61" s="1">
        <f t="array" aca="1" ref="I61:J61" ca="1">TRANSPOSE(MMULT($D$11:$E$12,TRANSPOSE(F61:G61)))</f>
        <v>-0.3891855131795342</v>
      </c>
      <c r="J61" s="1">
        <f ca="1"/>
        <v>0.42512283028824971</v>
      </c>
      <c r="L61" s="1">
        <f t="shared" ca="1" si="0"/>
        <v>0.34856945958992258</v>
      </c>
      <c r="M61" s="1">
        <f t="shared" ca="1" si="1"/>
        <v>0.66462643210257688</v>
      </c>
      <c r="O61" s="2">
        <f t="shared" ca="1" si="3"/>
        <v>-7.7162773427812519E-3</v>
      </c>
      <c r="P61" s="2">
        <f t="shared" ca="1" si="3"/>
        <v>8.7071280332535507E-3</v>
      </c>
    </row>
    <row r="62" spans="1:16" x14ac:dyDescent="0.25">
      <c r="A62" s="2">
        <v>3.4061011734905886E-3</v>
      </c>
      <c r="B62" s="2">
        <v>1.6945380516104586E-2</v>
      </c>
      <c r="F62" s="1">
        <f t="shared" ca="1" si="2"/>
        <v>-2.9537648829357326</v>
      </c>
      <c r="G62" s="1">
        <f t="shared" ca="1" si="2"/>
        <v>1.3101575338764559</v>
      </c>
      <c r="I62" s="1">
        <f t="array" aca="1" ref="I62:J62" ca="1">TRANSPOSE(MMULT($D$11:$E$12,TRANSPOSE(F62:G62)))</f>
        <v>-2.9537648829351966</v>
      </c>
      <c r="J62" s="1">
        <f ca="1"/>
        <v>-0.29373942298269662</v>
      </c>
      <c r="L62" s="1">
        <f t="shared" ca="1" si="0"/>
        <v>1.569615372727881E-3</v>
      </c>
      <c r="M62" s="1">
        <f t="shared" ca="1" si="1"/>
        <v>0.38447851365239705</v>
      </c>
      <c r="O62" s="2">
        <f t="shared" ca="1" si="3"/>
        <v>-5.6503142087378291E-2</v>
      </c>
      <c r="P62" s="2">
        <f t="shared" ca="1" si="3"/>
        <v>-6.8587288258260973E-3</v>
      </c>
    </row>
    <row r="63" spans="1:16" x14ac:dyDescent="0.25">
      <c r="A63" s="2">
        <v>2.7975507043130651E-3</v>
      </c>
      <c r="B63" s="2">
        <v>2.2581639135095615E-3</v>
      </c>
      <c r="F63" s="1">
        <f t="shared" ca="1" si="2"/>
        <v>1.2377021246022146</v>
      </c>
      <c r="G63" s="1">
        <f t="shared" ca="1" si="2"/>
        <v>-6.3709750249980018E-2</v>
      </c>
      <c r="I63" s="1">
        <f t="array" aca="1" ref="I63:J63" ca="1">TRANSPOSE(MMULT($D$11:$E$12,TRANSPOSE(F63:G63)))</f>
        <v>1.2377021246019899</v>
      </c>
      <c r="J63" s="1">
        <f ca="1"/>
        <v>0.54696123000497676</v>
      </c>
      <c r="L63" s="1">
        <f t="shared" ca="1" si="0"/>
        <v>0.89208673445943976</v>
      </c>
      <c r="M63" s="1">
        <f t="shared" ca="1" si="1"/>
        <v>0.70779731596945306</v>
      </c>
      <c r="O63" s="2">
        <f t="shared" ca="1" si="3"/>
        <v>2.3232558975225234E-2</v>
      </c>
      <c r="P63" s="2">
        <f t="shared" ca="1" si="3"/>
        <v>1.1345351255157909E-2</v>
      </c>
    </row>
    <row r="64" spans="1:16" x14ac:dyDescent="0.25">
      <c r="A64" s="2">
        <v>4.1919592325600262E-3</v>
      </c>
      <c r="B64" s="2">
        <v>3.0480835177119245E-5</v>
      </c>
      <c r="F64" s="1">
        <f t="shared" ca="1" si="2"/>
        <v>-0.80818173506440572</v>
      </c>
      <c r="G64" s="1">
        <f t="shared" ca="1" si="2"/>
        <v>0.79592997162597412</v>
      </c>
      <c r="I64" s="1">
        <f t="array" aca="1" ref="I64:J64" ca="1">TRANSPOSE(MMULT($D$11:$E$12,TRANSPOSE(F64:G64)))</f>
        <v>-0.80818173506425905</v>
      </c>
      <c r="J64" s="1">
        <f ca="1"/>
        <v>0.30173518080569695</v>
      </c>
      <c r="L64" s="1">
        <f t="shared" ca="1" si="0"/>
        <v>0.20949298533837343</v>
      </c>
      <c r="M64" s="1">
        <f t="shared" ca="1" si="1"/>
        <v>0.61857302645843015</v>
      </c>
      <c r="O64" s="2">
        <f t="shared" ca="1" si="3"/>
        <v>-1.5686984838386965E-2</v>
      </c>
      <c r="P64" s="2">
        <f t="shared" ca="1" si="3"/>
        <v>6.0353581896089737E-3</v>
      </c>
    </row>
    <row r="65" spans="1:16" x14ac:dyDescent="0.25">
      <c r="A65" s="2">
        <v>-3.3343291890145978E-3</v>
      </c>
      <c r="B65" s="2">
        <v>-2.7376960829391353E-2</v>
      </c>
      <c r="F65" s="1">
        <f t="shared" ca="1" si="2"/>
        <v>-0.23522629935233516</v>
      </c>
      <c r="G65" s="1">
        <f t="shared" ca="1" si="2"/>
        <v>-1.5728086516285398</v>
      </c>
      <c r="I65" s="1">
        <f t="array" aca="1" ref="I65:J65" ca="1">TRANSPOSE(MMULT($D$11:$E$12,TRANSPOSE(F65:G65)))</f>
        <v>-0.23522629935229247</v>
      </c>
      <c r="J65" s="1">
        <f ca="1"/>
        <v>-1.4883277339135077</v>
      </c>
      <c r="L65" s="1">
        <f t="shared" ca="1" si="0"/>
        <v>0.40701654733105508</v>
      </c>
      <c r="M65" s="1">
        <f t="shared" ca="1" si="1"/>
        <v>6.8332242186196893E-2</v>
      </c>
      <c r="O65" s="2">
        <f t="shared" ca="1" si="3"/>
        <v>-4.787458905826515E-3</v>
      </c>
      <c r="P65" s="2">
        <f t="shared" ca="1" si="3"/>
        <v>-3.27257020447832E-2</v>
      </c>
    </row>
    <row r="66" spans="1:16" x14ac:dyDescent="0.25">
      <c r="A66" s="2">
        <v>-5.7498696877369589E-3</v>
      </c>
      <c r="B66" s="2">
        <v>-2.1952528651684143E-3</v>
      </c>
      <c r="F66" s="1">
        <f t="shared" ca="1" si="2"/>
        <v>-0.70612582298285842</v>
      </c>
      <c r="G66" s="1">
        <f t="shared" ca="1" si="2"/>
        <v>-0.9720253506059392</v>
      </c>
      <c r="I66" s="1">
        <f t="array" aca="1" ref="I66:J66" ca="1">TRANSPOSE(MMULT($D$11:$E$12,TRANSPOSE(F66:G66)))</f>
        <v>-0.70612582298273019</v>
      </c>
      <c r="J66" s="1">
        <f ca="1"/>
        <v>-1.192832076556557</v>
      </c>
      <c r="L66" s="1">
        <f t="shared" ca="1" si="0"/>
        <v>0.24005494711306719</v>
      </c>
      <c r="M66" s="1">
        <f t="shared" ca="1" si="1"/>
        <v>0.11646757246789317</v>
      </c>
      <c r="O66" s="2">
        <f t="shared" ca="1" si="3"/>
        <v>-1.3745540546264163E-2</v>
      </c>
      <c r="P66" s="2">
        <f t="shared" ca="1" si="3"/>
        <v>-2.6327197903038703E-2</v>
      </c>
    </row>
    <row r="67" spans="1:16" x14ac:dyDescent="0.25">
      <c r="A67" s="2">
        <v>2.8721896240958074E-3</v>
      </c>
      <c r="B67" s="2">
        <v>-1.3782857119489766E-2</v>
      </c>
      <c r="F67" s="1">
        <f t="shared" ca="1" si="2"/>
        <v>-1.0337590530149521</v>
      </c>
      <c r="G67" s="1">
        <f t="shared" ca="1" si="2"/>
        <v>-0.89828037540692796</v>
      </c>
      <c r="I67" s="1">
        <f t="array" aca="1" ref="I67:J67" ca="1">TRANSPOSE(MMULT($D$11:$E$12,TRANSPOSE(F67:G67)))</f>
        <v>-1.0337590530147645</v>
      </c>
      <c r="J67" s="1">
        <f ca="1"/>
        <v>-1.2879354224331254</v>
      </c>
      <c r="L67" s="1">
        <f t="shared" ref="L67:L130" ca="1" si="4">NORMSDIST(I67)</f>
        <v>0.15062440923441273</v>
      </c>
      <c r="M67" s="1">
        <f t="shared" ref="M67:M130" ca="1" si="5">NORMSDIST(J67)</f>
        <v>9.8884221808010125E-2</v>
      </c>
      <c r="O67" s="2">
        <f t="shared" ca="1" si="3"/>
        <v>-1.9978218804504729E-2</v>
      </c>
      <c r="P67" s="2">
        <f t="shared" ca="1" si="3"/>
        <v>-2.8386514638613976E-2</v>
      </c>
    </row>
    <row r="68" spans="1:16" x14ac:dyDescent="0.25">
      <c r="A68" s="2">
        <v>-1.6371925905869653E-2</v>
      </c>
      <c r="B68" s="2">
        <v>-9.8844430314578274E-3</v>
      </c>
      <c r="F68" s="1">
        <f t="shared" ref="F68:G131" ca="1" si="6">NORMSINV(RAND())</f>
        <v>-1.0142211573971527</v>
      </c>
      <c r="G68" s="1">
        <f t="shared" ca="1" si="6"/>
        <v>1.2364495815204788</v>
      </c>
      <c r="I68" s="1">
        <f t="array" aca="1" ref="I68:J68" ca="1">TRANSPOSE(MMULT($D$11:$E$12,TRANSPOSE(F68:G68)))</f>
        <v>-1.0142211573969686</v>
      </c>
      <c r="J68" s="1">
        <f ca="1"/>
        <v>0.58619982896006262</v>
      </c>
      <c r="L68" s="1">
        <f t="shared" ca="1" si="4"/>
        <v>0.15523861758931287</v>
      </c>
      <c r="M68" s="1">
        <f t="shared" ca="1" si="5"/>
        <v>0.72112938168721818</v>
      </c>
      <c r="O68" s="2">
        <f t="shared" ref="O68:P131" ca="1" si="7">NORMINV(L68,D$16,D$17)</f>
        <v>-1.9606542777573944E-2</v>
      </c>
      <c r="P68" s="2">
        <f t="shared" ca="1" si="7"/>
        <v>1.2195002787014717E-2</v>
      </c>
    </row>
    <row r="69" spans="1:16" x14ac:dyDescent="0.25">
      <c r="A69" s="2">
        <v>-2.1983101563730276E-2</v>
      </c>
      <c r="B69" s="2">
        <v>-5.4153502422092286E-3</v>
      </c>
      <c r="F69" s="1">
        <f t="shared" ca="1" si="6"/>
        <v>2.1568916106875082E-2</v>
      </c>
      <c r="G69" s="1">
        <f t="shared" ca="1" si="6"/>
        <v>-7.1941485294652094E-2</v>
      </c>
      <c r="I69" s="1">
        <f t="array" aca="1" ref="I69:J69" ca="1">TRANSPOSE(MMULT($D$11:$E$12,TRANSPOSE(F69:G69)))</f>
        <v>2.1568916106871169E-2</v>
      </c>
      <c r="J69" s="1">
        <f ca="1"/>
        <v>-5.233730456848816E-2</v>
      </c>
      <c r="L69" s="1">
        <f t="shared" ca="1" si="4"/>
        <v>0.50860408544284974</v>
      </c>
      <c r="M69" s="1">
        <f t="shared" ca="1" si="5"/>
        <v>0.4791299646440707</v>
      </c>
      <c r="O69" s="2">
        <f t="shared" ca="1" si="7"/>
        <v>9.764373182727257E-5</v>
      </c>
      <c r="P69" s="2">
        <f t="shared" ca="1" si="7"/>
        <v>-1.6315371022152089E-3</v>
      </c>
    </row>
    <row r="70" spans="1:16" x14ac:dyDescent="0.25">
      <c r="A70" s="2">
        <v>-2.5833243341364556E-3</v>
      </c>
      <c r="B70" s="2">
        <v>1.644505012722788E-2</v>
      </c>
      <c r="F70" s="1">
        <f t="shared" ca="1" si="6"/>
        <v>0.21401682914445377</v>
      </c>
      <c r="G70" s="1">
        <f t="shared" ca="1" si="6"/>
        <v>-1.5955370966581823</v>
      </c>
      <c r="I70" s="1">
        <f t="array" aca="1" ref="I70:J70" ca="1">TRANSPOSE(MMULT($D$11:$E$12,TRANSPOSE(F70:G70)))</f>
        <v>0.21401682914441492</v>
      </c>
      <c r="J70" s="1">
        <f ca="1"/>
        <v>-1.2894538071085875</v>
      </c>
      <c r="L70" s="1">
        <f t="shared" ca="1" si="4"/>
        <v>0.58473303326822323</v>
      </c>
      <c r="M70" s="1">
        <f t="shared" ca="1" si="5"/>
        <v>9.862018277079726E-2</v>
      </c>
      <c r="O70" s="2">
        <f t="shared" ca="1" si="7"/>
        <v>3.7586457715641608E-3</v>
      </c>
      <c r="P70" s="2">
        <f t="shared" ca="1" si="7"/>
        <v>-2.8419392924276803E-2</v>
      </c>
    </row>
    <row r="71" spans="1:16" x14ac:dyDescent="0.25">
      <c r="A71" s="2">
        <v>-2.69502500644298E-2</v>
      </c>
      <c r="B71" s="2">
        <v>-2.9982076344554385E-2</v>
      </c>
      <c r="F71" s="1">
        <f t="shared" ca="1" si="6"/>
        <v>0.8495951681544669</v>
      </c>
      <c r="G71" s="1">
        <f t="shared" ca="1" si="6"/>
        <v>-7.0842948210708939E-2</v>
      </c>
      <c r="I71" s="1">
        <f t="array" aca="1" ref="I71:J71" ca="1">TRANSPOSE(MMULT($D$11:$E$12,TRANSPOSE(F71:G71)))</f>
        <v>0.84959516815431269</v>
      </c>
      <c r="J71" s="1">
        <f ca="1"/>
        <v>0.35176990235422168</v>
      </c>
      <c r="L71" s="1">
        <f t="shared" ca="1" si="4"/>
        <v>0.80222490038122396</v>
      </c>
      <c r="M71" s="1">
        <f t="shared" ca="1" si="5"/>
        <v>0.63749458393927882</v>
      </c>
      <c r="O71" s="2">
        <f t="shared" ca="1" si="7"/>
        <v>1.5849468471594609E-2</v>
      </c>
      <c r="P71" s="2">
        <f t="shared" ca="1" si="7"/>
        <v>7.1187831574166683E-3</v>
      </c>
    </row>
    <row r="72" spans="1:16" x14ac:dyDescent="0.25">
      <c r="A72" s="2">
        <v>-3.8478116240505698E-2</v>
      </c>
      <c r="B72" s="2">
        <v>-2.3703683925482513E-2</v>
      </c>
      <c r="F72" s="1">
        <f t="shared" ca="1" si="6"/>
        <v>1.9824534577989457</v>
      </c>
      <c r="G72" s="1">
        <f t="shared" ca="1" si="6"/>
        <v>-3.0317440796476451</v>
      </c>
      <c r="I72" s="1">
        <f t="array" aca="1" ref="I72:J72" ca="1">TRANSPOSE(MMULT($D$11:$E$12,TRANSPOSE(F72:G72)))</f>
        <v>1.9824534577985857</v>
      </c>
      <c r="J72" s="1">
        <f ca="1"/>
        <v>-1.682924912437467</v>
      </c>
      <c r="L72" s="1">
        <f t="shared" ca="1" si="4"/>
        <v>0.9762857442198668</v>
      </c>
      <c r="M72" s="1">
        <f t="shared" ca="1" si="5"/>
        <v>4.6194814103803772E-2</v>
      </c>
      <c r="O72" s="2">
        <f t="shared" ca="1" si="7"/>
        <v>3.7400216638509926E-2</v>
      </c>
      <c r="P72" s="2">
        <f t="shared" ca="1" si="7"/>
        <v>-3.6939404756675391E-2</v>
      </c>
    </row>
    <row r="73" spans="1:16" x14ac:dyDescent="0.25">
      <c r="A73" s="2">
        <v>2.3250619234550001E-2</v>
      </c>
      <c r="B73" s="2">
        <v>-5.2975642153733675E-2</v>
      </c>
      <c r="F73" s="1">
        <f t="shared" ca="1" si="6"/>
        <v>-0.63186292272028444</v>
      </c>
      <c r="G73" s="1">
        <f t="shared" ca="1" si="6"/>
        <v>0.41888325016940331</v>
      </c>
      <c r="I73" s="1">
        <f t="array" aca="1" ref="I73:J73" ca="1">TRANSPOSE(MMULT($D$11:$E$12,TRANSPOSE(F73:G73)))</f>
        <v>-0.63186292272016975</v>
      </c>
      <c r="J73" s="1">
        <f ca="1"/>
        <v>5.8241892049845478E-2</v>
      </c>
      <c r="L73" s="1">
        <f t="shared" ca="1" si="4"/>
        <v>0.26373822649487166</v>
      </c>
      <c r="M73" s="1">
        <f t="shared" ca="1" si="5"/>
        <v>0.52322202384687966</v>
      </c>
      <c r="O73" s="2">
        <f t="shared" ca="1" si="7"/>
        <v>-1.233281216149352E-2</v>
      </c>
      <c r="P73" s="2">
        <f t="shared" ca="1" si="7"/>
        <v>7.6288538737994934E-4</v>
      </c>
    </row>
    <row r="74" spans="1:16" x14ac:dyDescent="0.25">
      <c r="A74" s="2">
        <v>-0.10137571361135547</v>
      </c>
      <c r="B74" s="2">
        <v>-0.22899722656567034</v>
      </c>
      <c r="F74" s="1">
        <f t="shared" ca="1" si="6"/>
        <v>-4.2250350370991438E-2</v>
      </c>
      <c r="G74" s="1">
        <f t="shared" ca="1" si="6"/>
        <v>1.4698343318421339</v>
      </c>
      <c r="I74" s="1">
        <f t="array" aca="1" ref="I74:J74" ca="1">TRANSPOSE(MMULT($D$11:$E$12,TRANSPOSE(F74:G74)))</f>
        <v>-4.225035037098377E-2</v>
      </c>
      <c r="J74" s="1">
        <f ca="1"/>
        <v>1.2632855061941757</v>
      </c>
      <c r="L74" s="1">
        <f t="shared" ca="1" si="4"/>
        <v>0.48314956228821443</v>
      </c>
      <c r="M74" s="1">
        <f t="shared" ca="1" si="5"/>
        <v>0.89675670345456671</v>
      </c>
      <c r="O74" s="2">
        <f t="shared" ca="1" si="7"/>
        <v>-1.1164118589151366E-3</v>
      </c>
      <c r="P74" s="2">
        <f t="shared" ca="1" si="7"/>
        <v>2.6856252122618374E-2</v>
      </c>
    </row>
    <row r="75" spans="1:16" x14ac:dyDescent="0.25">
      <c r="A75" s="2">
        <v>1.0466216410067238E-2</v>
      </c>
      <c r="B75" s="2">
        <v>5.1953546040768017E-2</v>
      </c>
      <c r="F75" s="1">
        <f t="shared" ca="1" si="6"/>
        <v>-1.5153944132336168</v>
      </c>
      <c r="G75" s="1">
        <f t="shared" ca="1" si="6"/>
        <v>-0.29007704170971388</v>
      </c>
      <c r="I75" s="1">
        <f t="array" aca="1" ref="I75:J75" ca="1">TRANSPOSE(MMULT($D$11:$E$12,TRANSPOSE(F75:G75)))</f>
        <v>-1.5153944132333417</v>
      </c>
      <c r="J75" s="1">
        <f ca="1"/>
        <v>-0.99118563014257344</v>
      </c>
      <c r="L75" s="1">
        <f t="shared" ca="1" si="4"/>
        <v>6.4836275686034631E-2</v>
      </c>
      <c r="M75" s="1">
        <f t="shared" ca="1" si="5"/>
        <v>0.16079747299989125</v>
      </c>
      <c r="O75" s="2">
        <f t="shared" ca="1" si="7"/>
        <v>-2.9140531912185068E-2</v>
      </c>
      <c r="P75" s="2">
        <f t="shared" ca="1" si="7"/>
        <v>-2.1960854133088223E-2</v>
      </c>
    </row>
    <row r="76" spans="1:16" x14ac:dyDescent="0.25">
      <c r="A76" s="2">
        <v>1.8040283873263927E-2</v>
      </c>
      <c r="B76" s="2">
        <v>8.7088785357512827E-2</v>
      </c>
      <c r="F76" s="1">
        <f t="shared" ca="1" si="6"/>
        <v>1.4365411799967929</v>
      </c>
      <c r="G76" s="1">
        <f t="shared" ca="1" si="6"/>
        <v>-1.3252638059897366</v>
      </c>
      <c r="I76" s="1">
        <f t="array" aca="1" ref="I76:J76" ca="1">TRANSPOSE(MMULT($D$11:$E$12,TRANSPOSE(F76:G76)))</f>
        <v>1.4365411799965322</v>
      </c>
      <c r="J76" s="1">
        <f ca="1"/>
        <v>-0.45815811599586187</v>
      </c>
      <c r="L76" s="1">
        <f t="shared" ca="1" si="4"/>
        <v>0.92457579637200671</v>
      </c>
      <c r="M76" s="1">
        <f t="shared" ca="1" si="5"/>
        <v>0.32341942427789677</v>
      </c>
      <c r="O76" s="2">
        <f t="shared" ca="1" si="7"/>
        <v>2.7015141887604018E-2</v>
      </c>
      <c r="P76" s="2">
        <f t="shared" ca="1" si="7"/>
        <v>-1.0418962832764915E-2</v>
      </c>
    </row>
    <row r="77" spans="1:16" x14ac:dyDescent="0.25">
      <c r="A77" s="2">
        <v>-3.8348068575194773E-2</v>
      </c>
      <c r="B77" s="2">
        <v>-3.9995066606873159E-2</v>
      </c>
      <c r="F77" s="1">
        <f t="shared" ca="1" si="6"/>
        <v>-2.1928198092758069</v>
      </c>
      <c r="G77" s="1">
        <f t="shared" ca="1" si="6"/>
        <v>-9.4114845245579934E-2</v>
      </c>
      <c r="I77" s="1">
        <f t="array" aca="1" ref="I77:J77" ca="1">TRANSPOSE(MMULT($D$11:$E$12,TRANSPOSE(F77:G77)))</f>
        <v>-2.192819809275409</v>
      </c>
      <c r="J77" s="1">
        <f ca="1"/>
        <v>-1.1498419625141232</v>
      </c>
      <c r="L77" s="1">
        <f t="shared" ca="1" si="4"/>
        <v>1.4160182063589075E-2</v>
      </c>
      <c r="M77" s="1">
        <f t="shared" ca="1" si="5"/>
        <v>0.12510448424482709</v>
      </c>
      <c r="O77" s="2">
        <f t="shared" ca="1" si="7"/>
        <v>-4.2027425396947128E-2</v>
      </c>
      <c r="P77" s="2">
        <f t="shared" ca="1" si="7"/>
        <v>-2.5396313079840423E-2</v>
      </c>
    </row>
    <row r="78" spans="1:16" x14ac:dyDescent="0.25">
      <c r="A78" s="2">
        <v>-8.4977673227427768E-3</v>
      </c>
      <c r="B78" s="2">
        <v>-1.208532239068052E-4</v>
      </c>
      <c r="F78" s="1">
        <f t="shared" ca="1" si="6"/>
        <v>6.4914858537024583E-2</v>
      </c>
      <c r="G78" s="1">
        <f t="shared" ca="1" si="6"/>
        <v>0.63283913974038275</v>
      </c>
      <c r="I78" s="1">
        <f t="array" aca="1" ref="I78:J78" ca="1">TRANSPOSE(MMULT($D$11:$E$12,TRANSPOSE(F78:G78)))</f>
        <v>6.4914858537012801E-2</v>
      </c>
      <c r="J78" s="1">
        <f ca="1"/>
        <v>0.58437164383752849</v>
      </c>
      <c r="L78" s="1">
        <f t="shared" ca="1" si="4"/>
        <v>0.52587910492727963</v>
      </c>
      <c r="M78" s="1">
        <f t="shared" ca="1" si="5"/>
        <v>0.72051484987555059</v>
      </c>
      <c r="O78" s="2">
        <f t="shared" ca="1" si="7"/>
        <v>9.2222832277634881E-4</v>
      </c>
      <c r="P78" s="2">
        <f t="shared" ca="1" si="7"/>
        <v>1.215541624898219E-2</v>
      </c>
    </row>
    <row r="79" spans="1:16" x14ac:dyDescent="0.25">
      <c r="A79" s="2">
        <v>-8.4488755829351711E-2</v>
      </c>
      <c r="B79" s="2">
        <v>-8.6418237617444077E-2</v>
      </c>
      <c r="F79" s="1">
        <f t="shared" ca="1" si="6"/>
        <v>0.93261026539504477</v>
      </c>
      <c r="G79" s="1">
        <f t="shared" ca="1" si="6"/>
        <v>-1.4433613409282333</v>
      </c>
      <c r="I79" s="1">
        <f t="array" aca="1" ref="I79:J79" ca="1">TRANSPOSE(MMULT($D$11:$E$12,TRANSPOSE(F79:G79)))</f>
        <v>0.93261026539487546</v>
      </c>
      <c r="J79" s="1">
        <f ca="1"/>
        <v>-0.80666559202101373</v>
      </c>
      <c r="L79" s="1">
        <f t="shared" ca="1" si="4"/>
        <v>0.8244893843809461</v>
      </c>
      <c r="M79" s="1">
        <f t="shared" ca="1" si="5"/>
        <v>0.20992958639519627</v>
      </c>
      <c r="O79" s="2">
        <f t="shared" ca="1" si="7"/>
        <v>1.7428692873302516E-2</v>
      </c>
      <c r="P79" s="2">
        <f t="shared" ca="1" si="7"/>
        <v>-1.7965356403219893E-2</v>
      </c>
    </row>
    <row r="80" spans="1:16" x14ac:dyDescent="0.25">
      <c r="A80" s="2">
        <v>1.2996717502629398E-2</v>
      </c>
      <c r="B80" s="2">
        <v>2.3956359826306933E-2</v>
      </c>
      <c r="F80" s="1">
        <f t="shared" ca="1" si="6"/>
        <v>-0.18999925674343449</v>
      </c>
      <c r="G80" s="1">
        <f t="shared" ca="1" si="6"/>
        <v>1.4750084768526315</v>
      </c>
      <c r="I80" s="1">
        <f t="array" aca="1" ref="I80:J80" ca="1">TRANSPOSE(MMULT($D$11:$E$12,TRANSPOSE(F80:G80)))</f>
        <v>-0.18999925674339999</v>
      </c>
      <c r="J80" s="1">
        <f ca="1"/>
        <v>1.1958692923205168</v>
      </c>
      <c r="L80" s="1">
        <f t="shared" ca="1" si="4"/>
        <v>0.4246548564775991</v>
      </c>
      <c r="M80" s="1">
        <f t="shared" ca="1" si="5"/>
        <v>0.88412621494207433</v>
      </c>
      <c r="O80" s="2">
        <f t="shared" ca="1" si="7"/>
        <v>-3.9270895070161425E-3</v>
      </c>
      <c r="P80" s="2">
        <f t="shared" ca="1" si="7"/>
        <v>2.5396457662186536E-2</v>
      </c>
    </row>
    <row r="81" spans="1:16" x14ac:dyDescent="0.25">
      <c r="A81" s="2">
        <v>-9.1073474552588532E-2</v>
      </c>
      <c r="B81" s="2">
        <v>3.8587691005540105E-4</v>
      </c>
      <c r="F81" s="1">
        <f t="shared" ca="1" si="6"/>
        <v>-1.5206383561309049</v>
      </c>
      <c r="G81" s="1">
        <f t="shared" ca="1" si="6"/>
        <v>-2.2134350997586529</v>
      </c>
      <c r="I81" s="1">
        <f t="array" aca="1" ref="I81:J81" ca="1">TRANSPOSE(MMULT($D$11:$E$12,TRANSPOSE(F81:G81)))</f>
        <v>-1.5206383561306289</v>
      </c>
      <c r="J81" s="1">
        <f ca="1"/>
        <v>-2.6737344490358783</v>
      </c>
      <c r="L81" s="1">
        <f t="shared" ca="1" si="4"/>
        <v>6.4175307938697551E-2</v>
      </c>
      <c r="M81" s="1">
        <f t="shared" ca="1" si="5"/>
        <v>3.7505911600516405E-3</v>
      </c>
      <c r="O81" s="2">
        <f t="shared" ca="1" si="7"/>
        <v>-2.9240289219709028E-2</v>
      </c>
      <c r="P81" s="2">
        <f t="shared" ca="1" si="7"/>
        <v>-5.8393861923017799E-2</v>
      </c>
    </row>
    <row r="82" spans="1:16" x14ac:dyDescent="0.25">
      <c r="A82" s="2">
        <v>6.3905217919710613E-2</v>
      </c>
      <c r="B82" s="2">
        <v>4.8079545288525233E-2</v>
      </c>
      <c r="F82" s="1">
        <f t="shared" ca="1" si="6"/>
        <v>-0.99384975360032135</v>
      </c>
      <c r="G82" s="1">
        <f t="shared" ca="1" si="6"/>
        <v>8.0334392760355089E-2</v>
      </c>
      <c r="I82" s="1">
        <f t="array" aca="1" ref="I82:J82" ca="1">TRANSPOSE(MMULT($D$11:$E$12,TRANSPOSE(F82:G82)))</f>
        <v>-0.99384975360014094</v>
      </c>
      <c r="J82" s="1">
        <f ca="1"/>
        <v>-0.41371377681255861</v>
      </c>
      <c r="L82" s="1">
        <f t="shared" ca="1" si="4"/>
        <v>0.16014800981546037</v>
      </c>
      <c r="M82" s="1">
        <f t="shared" ca="1" si="5"/>
        <v>0.33954186817470788</v>
      </c>
      <c r="O82" s="2">
        <f t="shared" ca="1" si="7"/>
        <v>-1.9219010641343647E-2</v>
      </c>
      <c r="P82" s="2">
        <f t="shared" ca="1" si="7"/>
        <v>-9.4565889999814971E-3</v>
      </c>
    </row>
    <row r="83" spans="1:16" x14ac:dyDescent="0.25">
      <c r="A83" s="2">
        <v>3.7386252529389465E-2</v>
      </c>
      <c r="B83" s="2">
        <v>2.8276412654027309E-2</v>
      </c>
      <c r="F83" s="1">
        <f t="shared" ca="1" si="6"/>
        <v>-0.34395549571127426</v>
      </c>
      <c r="G83" s="1">
        <f t="shared" ca="1" si="6"/>
        <v>-0.12731243344451856</v>
      </c>
      <c r="I83" s="1">
        <f t="array" aca="1" ref="I83:J83" ca="1">TRANSPOSE(MMULT($D$11:$E$12,TRANSPOSE(F83:G83)))</f>
        <v>-0.34395549571121181</v>
      </c>
      <c r="J83" s="1">
        <f ca="1"/>
        <v>-0.27866792079244496</v>
      </c>
      <c r="L83" s="1">
        <f t="shared" ca="1" si="4"/>
        <v>0.36543987778394527</v>
      </c>
      <c r="M83" s="1">
        <f t="shared" ca="1" si="5"/>
        <v>0.39024984156637466</v>
      </c>
      <c r="O83" s="2">
        <f t="shared" ca="1" si="7"/>
        <v>-6.8558513522091425E-3</v>
      </c>
      <c r="P83" s="2">
        <f t="shared" ca="1" si="7"/>
        <v>-6.5323786180118883E-3</v>
      </c>
    </row>
    <row r="84" spans="1:16" x14ac:dyDescent="0.25">
      <c r="A84" s="2">
        <v>0</v>
      </c>
      <c r="B84" s="2">
        <v>1.5604998068890054E-2</v>
      </c>
      <c r="F84" s="1">
        <f t="shared" ca="1" si="6"/>
        <v>2.4893057186417402</v>
      </c>
      <c r="G84" s="1">
        <f t="shared" ca="1" si="6"/>
        <v>0.83759866622112278</v>
      </c>
      <c r="I84" s="1">
        <f t="array" aca="1" ref="I84:J84" ca="1">TRANSPOSE(MMULT($D$11:$E$12,TRANSPOSE(F84:G84)))</f>
        <v>2.4893057186412881</v>
      </c>
      <c r="J84" s="1">
        <f ca="1"/>
        <v>1.9436052443159562</v>
      </c>
      <c r="L84" s="1">
        <f t="shared" ca="1" si="4"/>
        <v>0.99360035742234565</v>
      </c>
      <c r="M84" s="1">
        <f t="shared" ca="1" si="5"/>
        <v>0.97402846353212069</v>
      </c>
      <c r="O84" s="2">
        <f t="shared" ca="1" si="7"/>
        <v>4.7042239414970953E-2</v>
      </c>
      <c r="P84" s="2">
        <f t="shared" ca="1" si="7"/>
        <v>4.1587530074444289E-2</v>
      </c>
    </row>
    <row r="85" spans="1:16" x14ac:dyDescent="0.25">
      <c r="A85" s="2">
        <v>-7.7507221558891825E-3</v>
      </c>
      <c r="B85" s="2">
        <v>-1.9464854435832176E-2</v>
      </c>
      <c r="F85" s="1">
        <f t="shared" ca="1" si="6"/>
        <v>0.35435077561031331</v>
      </c>
      <c r="G85" s="1">
        <f t="shared" ca="1" si="6"/>
        <v>0.50303299862890793</v>
      </c>
      <c r="I85" s="1">
        <f t="array" aca="1" ref="I85:J85" ca="1">TRANSPOSE(MMULT($D$11:$E$12,TRANSPOSE(F85:G85)))</f>
        <v>0.35435077561024897</v>
      </c>
      <c r="J85" s="1">
        <f ca="1"/>
        <v>0.61190981349863349</v>
      </c>
      <c r="L85" s="1">
        <f t="shared" ca="1" si="4"/>
        <v>0.63846199018285854</v>
      </c>
      <c r="M85" s="1">
        <f t="shared" ca="1" si="5"/>
        <v>0.72970128578217963</v>
      </c>
      <c r="O85" s="2">
        <f t="shared" ca="1" si="7"/>
        <v>6.4282661179044086E-3</v>
      </c>
      <c r="P85" s="2">
        <f t="shared" ca="1" si="7"/>
        <v>1.275171297364029E-2</v>
      </c>
    </row>
    <row r="86" spans="1:16" x14ac:dyDescent="0.25">
      <c r="A86" s="2">
        <v>-2.7991136965152486E-2</v>
      </c>
      <c r="B86" s="2">
        <v>-7.4433094058768638E-3</v>
      </c>
      <c r="F86" s="1">
        <f t="shared" ca="1" si="6"/>
        <v>-0.30082965214989182</v>
      </c>
      <c r="G86" s="1">
        <f t="shared" ca="1" si="6"/>
        <v>6.8255158487992518E-2</v>
      </c>
      <c r="I86" s="1">
        <f t="array" aca="1" ref="I86:J86" ca="1">TRANSPOSE(MMULT($D$11:$E$12,TRANSPOSE(F86:G86)))</f>
        <v>-0.3008296521498372</v>
      </c>
      <c r="J86" s="1">
        <f ca="1"/>
        <v>-8.6848467129242213E-2</v>
      </c>
      <c r="L86" s="1">
        <f t="shared" ca="1" si="4"/>
        <v>0.38177219800073803</v>
      </c>
      <c r="M86" s="1">
        <f t="shared" ca="1" si="5"/>
        <v>0.46539598096854123</v>
      </c>
      <c r="O86" s="2">
        <f t="shared" ca="1" si="7"/>
        <v>-6.0354537768258984E-3</v>
      </c>
      <c r="P86" s="2">
        <f t="shared" ca="1" si="7"/>
        <v>-2.3788232672861853E-3</v>
      </c>
    </row>
    <row r="87" spans="1:16" x14ac:dyDescent="0.25">
      <c r="A87" s="2">
        <v>-1.3767794967369747E-2</v>
      </c>
      <c r="B87" s="2">
        <v>2.1930006450861763E-2</v>
      </c>
      <c r="F87" s="1">
        <f t="shared" ca="1" si="6"/>
        <v>1.4559804426472907</v>
      </c>
      <c r="G87" s="1">
        <f t="shared" ca="1" si="6"/>
        <v>0.60501192886354649</v>
      </c>
      <c r="I87" s="1">
        <f t="array" aca="1" ref="I87:J87" ca="1">TRANSPOSE(MMULT($D$11:$E$12,TRANSPOSE(F87:G87)))</f>
        <v>1.4559804426470264</v>
      </c>
      <c r="J87" s="1">
        <f ca="1"/>
        <v>1.2373444736145185</v>
      </c>
      <c r="L87" s="1">
        <f t="shared" ca="1" si="4"/>
        <v>0.92730098693342411</v>
      </c>
      <c r="M87" s="1">
        <f t="shared" ca="1" si="5"/>
        <v>0.89202038821696727</v>
      </c>
      <c r="O87" s="2">
        <f t="shared" ca="1" si="7"/>
        <v>2.7384941586084292E-2</v>
      </c>
      <c r="P87" s="2">
        <f t="shared" ca="1" si="7"/>
        <v>2.6294538945894556E-2</v>
      </c>
    </row>
    <row r="88" spans="1:16" x14ac:dyDescent="0.25">
      <c r="A88" s="2">
        <v>9.4792766757449826E-3</v>
      </c>
      <c r="B88" s="2">
        <v>-1.6122672910133702E-2</v>
      </c>
      <c r="F88" s="1">
        <f t="shared" ca="1" si="6"/>
        <v>-1.4911096171946259</v>
      </c>
      <c r="G88" s="1">
        <f t="shared" ca="1" si="6"/>
        <v>-0.57115492277429591</v>
      </c>
      <c r="I88" s="1">
        <f t="array" aca="1" ref="I88:J88" ca="1">TRANSPOSE(MMULT($D$11:$E$12,TRANSPOSE(F88:G88)))</f>
        <v>-1.4911096171943552</v>
      </c>
      <c r="J88" s="1">
        <f ca="1"/>
        <v>-1.224875010907136</v>
      </c>
      <c r="L88" s="1">
        <f t="shared" ca="1" si="4"/>
        <v>6.7966358893446918E-2</v>
      </c>
      <c r="M88" s="1">
        <f t="shared" ca="1" si="5"/>
        <v>0.11031115851438218</v>
      </c>
      <c r="O88" s="2">
        <f t="shared" ca="1" si="7"/>
        <v>-2.8678553985638369E-2</v>
      </c>
      <c r="P88" s="2">
        <f t="shared" ca="1" si="7"/>
        <v>-2.7021038381066995E-2</v>
      </c>
    </row>
    <row r="89" spans="1:16" x14ac:dyDescent="0.25">
      <c r="A89" s="2">
        <v>-4.0359466557903366E-2</v>
      </c>
      <c r="B89" s="2">
        <v>-2.9338787310787217E-2</v>
      </c>
      <c r="F89" s="1">
        <f t="shared" ca="1" si="6"/>
        <v>0.96653134073228675</v>
      </c>
      <c r="G89" s="1">
        <f t="shared" ca="1" si="6"/>
        <v>0.77203984042308738</v>
      </c>
      <c r="I89" s="1">
        <f t="array" aca="1" ref="I89:J89" ca="1">TRANSPOSE(MMULT($D$11:$E$12,TRANSPOSE(F89:G89)))</f>
        <v>0.96653134073211133</v>
      </c>
      <c r="J89" s="1">
        <f ca="1"/>
        <v>1.1449364098767598</v>
      </c>
      <c r="L89" s="1">
        <f t="shared" ca="1" si="4"/>
        <v>0.83311081391107455</v>
      </c>
      <c r="M89" s="1">
        <f t="shared" ca="1" si="5"/>
        <v>0.87388224996845343</v>
      </c>
      <c r="O89" s="2">
        <f t="shared" ca="1" si="7"/>
        <v>1.8073985015158417E-2</v>
      </c>
      <c r="P89" s="2">
        <f t="shared" ca="1" si="7"/>
        <v>2.4293584401095959E-2</v>
      </c>
    </row>
    <row r="90" spans="1:16" x14ac:dyDescent="0.25">
      <c r="A90" s="2">
        <v>-7.6119253492832509E-2</v>
      </c>
      <c r="B90" s="2">
        <v>-1.7297235288457065E-2</v>
      </c>
      <c r="F90" s="1">
        <f t="shared" ca="1" si="6"/>
        <v>5.3338976044123632E-2</v>
      </c>
      <c r="G90" s="1">
        <f t="shared" ca="1" si="6"/>
        <v>-0.41614252616095182</v>
      </c>
      <c r="I90" s="1">
        <f t="array" aca="1" ref="I90:J90" ca="1">TRANSPOSE(MMULT($D$11:$E$12,TRANSPOSE(F90:G90)))</f>
        <v>5.3338976044113952E-2</v>
      </c>
      <c r="J90" s="1">
        <f ca="1"/>
        <v>-0.33751846544803182</v>
      </c>
      <c r="L90" s="1">
        <f t="shared" ca="1" si="4"/>
        <v>0.52126908700300989</v>
      </c>
      <c r="M90" s="1">
        <f t="shared" ca="1" si="5"/>
        <v>0.36786304727501307</v>
      </c>
      <c r="O90" s="2">
        <f t="shared" ca="1" si="7"/>
        <v>7.0201637685626426E-4</v>
      </c>
      <c r="P90" s="2">
        <f t="shared" ca="1" si="7"/>
        <v>-7.8066966810615406E-3</v>
      </c>
    </row>
    <row r="91" spans="1:16" x14ac:dyDescent="0.25">
      <c r="A91" s="2">
        <v>0</v>
      </c>
      <c r="B91" s="2">
        <v>1.2060865684470819E-2</v>
      </c>
      <c r="F91" s="1">
        <f t="shared" ca="1" si="6"/>
        <v>-0.95345251530388808</v>
      </c>
      <c r="G91" s="1">
        <f t="shared" ca="1" si="6"/>
        <v>-0.19133633754547444</v>
      </c>
      <c r="I91" s="1">
        <f t="array" aca="1" ref="I91:J91" ca="1">TRANSPOSE(MMULT($D$11:$E$12,TRANSPOSE(F91:G91)))</f>
        <v>-0.953452515303715</v>
      </c>
      <c r="J91" s="1">
        <f ca="1"/>
        <v>-0.63134150137664391</v>
      </c>
      <c r="L91" s="1">
        <f t="shared" ca="1" si="4"/>
        <v>0.17018042216059454</v>
      </c>
      <c r="M91" s="1">
        <f t="shared" ca="1" si="5"/>
        <v>0.26390862830182887</v>
      </c>
      <c r="O91" s="2">
        <f t="shared" ca="1" si="7"/>
        <v>-1.8450520251042022E-2</v>
      </c>
      <c r="P91" s="2">
        <f t="shared" ca="1" si="7"/>
        <v>-1.4168982777395435E-2</v>
      </c>
    </row>
    <row r="92" spans="1:16" x14ac:dyDescent="0.25">
      <c r="A92" s="2">
        <v>8.2254360795147127E-2</v>
      </c>
      <c r="B92" s="2">
        <v>2.6998907579511448E-2</v>
      </c>
      <c r="F92" s="1">
        <f t="shared" ca="1" si="6"/>
        <v>-1.0724913013189175</v>
      </c>
      <c r="G92" s="1">
        <f t="shared" ca="1" si="6"/>
        <v>-2.1441840280680631</v>
      </c>
      <c r="I92" s="1">
        <f t="array" aca="1" ref="I92:J92" ca="1">TRANSPOSE(MMULT($D$11:$E$12,TRANSPOSE(F92:G92)))</f>
        <v>-1.0724913013187227</v>
      </c>
      <c r="J92" s="1">
        <f ca="1"/>
        <v>-2.3950528231986583</v>
      </c>
      <c r="L92" s="1">
        <f t="shared" ca="1" si="4"/>
        <v>0.14174970947396931</v>
      </c>
      <c r="M92" s="1">
        <f t="shared" ca="1" si="5"/>
        <v>8.308985495682172E-3</v>
      </c>
      <c r="O92" s="2">
        <f t="shared" ca="1" si="7"/>
        <v>-2.0715035524448665E-2</v>
      </c>
      <c r="P92" s="2">
        <f t="shared" ca="1" si="7"/>
        <v>-5.2359439782615404E-2</v>
      </c>
    </row>
    <row r="93" spans="1:16" x14ac:dyDescent="0.25">
      <c r="A93" s="2">
        <v>2.0623730373924933E-3</v>
      </c>
      <c r="B93" s="2">
        <v>-1.1656275734294751E-2</v>
      </c>
      <c r="F93" s="1">
        <f t="shared" ca="1" si="6"/>
        <v>-0.80018357044839106</v>
      </c>
      <c r="G93" s="1">
        <f t="shared" ca="1" si="6"/>
        <v>0.60481609170701156</v>
      </c>
      <c r="I93" s="1">
        <f t="array" aca="1" ref="I93:J93" ca="1">TRANSPOSE(MMULT($D$11:$E$12,TRANSPOSE(F93:G93)))</f>
        <v>-0.80018357044824584</v>
      </c>
      <c r="J93" s="1">
        <f ca="1"/>
        <v>0.13869706000865678</v>
      </c>
      <c r="L93" s="1">
        <f t="shared" ca="1" si="4"/>
        <v>0.21180222368013377</v>
      </c>
      <c r="M93" s="1">
        <f t="shared" ca="1" si="5"/>
        <v>0.55515522929068328</v>
      </c>
      <c r="O93" s="2">
        <f t="shared" ca="1" si="7"/>
        <v>-1.5534833035277194E-2</v>
      </c>
      <c r="P93" s="2">
        <f t="shared" ca="1" si="7"/>
        <v>2.5050183514097688E-3</v>
      </c>
    </row>
    <row r="94" spans="1:16" x14ac:dyDescent="0.25">
      <c r="A94" s="2">
        <v>5.8384610992237414E-2</v>
      </c>
      <c r="B94" s="2">
        <v>4.5491548802393837E-3</v>
      </c>
      <c r="F94" s="1">
        <f t="shared" ca="1" si="6"/>
        <v>6.0889950219057132E-2</v>
      </c>
      <c r="G94" s="1">
        <f t="shared" ca="1" si="6"/>
        <v>1.207632716717413</v>
      </c>
      <c r="I94" s="1">
        <f t="array" aca="1" ref="I94:J94" ca="1">TRANSPOSE(MMULT($D$11:$E$12,TRANSPOSE(F94:G94)))</f>
        <v>6.0889950219046078E-2</v>
      </c>
      <c r="J94" s="1">
        <f ca="1"/>
        <v>1.0844769794084206</v>
      </c>
      <c r="L94" s="1">
        <f t="shared" ca="1" si="4"/>
        <v>0.52427657342039979</v>
      </c>
      <c r="M94" s="1">
        <f t="shared" ca="1" si="5"/>
        <v>0.86092331573258962</v>
      </c>
      <c r="O94" s="2">
        <f t="shared" ca="1" si="7"/>
        <v>8.4566112425881997E-4</v>
      </c>
      <c r="P94" s="2">
        <f t="shared" ca="1" si="7"/>
        <v>2.2984428389399059E-2</v>
      </c>
    </row>
    <row r="95" spans="1:16" x14ac:dyDescent="0.25">
      <c r="A95" s="2">
        <v>-1.909761959731953E-2</v>
      </c>
      <c r="B95" s="2">
        <v>-1.519016549397512E-2</v>
      </c>
      <c r="F95" s="1">
        <f t="shared" ca="1" si="6"/>
        <v>0.99942725826853751</v>
      </c>
      <c r="G95" s="1">
        <f t="shared" ca="1" si="6"/>
        <v>7.7367041951989443E-2</v>
      </c>
      <c r="I95" s="1">
        <f t="array" aca="1" ref="I95:J95" ca="1">TRANSPOSE(MMULT($D$11:$E$12,TRANSPOSE(F95:G95)))</f>
        <v>0.9994272582683561</v>
      </c>
      <c r="J95" s="1">
        <f ca="1"/>
        <v>0.55417682053047645</v>
      </c>
      <c r="L95" s="1">
        <f t="shared" ca="1" si="4"/>
        <v>0.84120611964957448</v>
      </c>
      <c r="M95" s="1">
        <f t="shared" ca="1" si="5"/>
        <v>0.71027107993897831</v>
      </c>
      <c r="O95" s="2">
        <f t="shared" ca="1" si="7"/>
        <v>1.8699775231837516E-2</v>
      </c>
      <c r="P95" s="2">
        <f t="shared" ca="1" si="7"/>
        <v>1.1501593774169865E-2</v>
      </c>
    </row>
    <row r="96" spans="1:16" x14ac:dyDescent="0.25">
      <c r="A96" s="2">
        <v>-7.6658632892564246E-3</v>
      </c>
      <c r="B96" s="2">
        <v>1.0274553637790961E-2</v>
      </c>
      <c r="F96" s="1">
        <f t="shared" ca="1" si="6"/>
        <v>-0.52842779587466271</v>
      </c>
      <c r="G96" s="1">
        <f t="shared" ca="1" si="6"/>
        <v>-5.4948702561014459E-2</v>
      </c>
      <c r="I96" s="1">
        <f t="array" aca="1" ref="I96:J96" ca="1">TRANSPOSE(MMULT($D$11:$E$12,TRANSPOSE(F96:G96)))</f>
        <v>-0.52842779587456679</v>
      </c>
      <c r="J96" s="1">
        <f ca="1"/>
        <v>-0.30527585191769213</v>
      </c>
      <c r="L96" s="1">
        <f t="shared" ca="1" si="4"/>
        <v>0.29860122473401174</v>
      </c>
      <c r="M96" s="1">
        <f t="shared" ca="1" si="5"/>
        <v>0.38007803302448823</v>
      </c>
      <c r="O96" s="2">
        <f t="shared" ca="1" si="7"/>
        <v>-1.0365130598283619E-2</v>
      </c>
      <c r="P96" s="2">
        <f t="shared" ca="1" si="7"/>
        <v>-7.1085324573980551E-3</v>
      </c>
    </row>
    <row r="97" spans="1:16" x14ac:dyDescent="0.25">
      <c r="A97" s="2">
        <v>-2.1343998166547421E-2</v>
      </c>
      <c r="B97" s="2">
        <v>-2.2653357508304293E-2</v>
      </c>
      <c r="F97" s="1">
        <f t="shared" ca="1" si="6"/>
        <v>1.692467529900515</v>
      </c>
      <c r="G97" s="1">
        <f t="shared" ca="1" si="6"/>
        <v>0.45730561945425985</v>
      </c>
      <c r="I97" s="1">
        <f t="array" aca="1" ref="I97:J97" ca="1">TRANSPOSE(MMULT($D$11:$E$12,TRANSPOSE(F97:G97)))</f>
        <v>1.6924675299002077</v>
      </c>
      <c r="J97" s="1">
        <f ca="1"/>
        <v>1.2234677682707984</v>
      </c>
      <c r="L97" s="1">
        <f t="shared" ca="1" si="4"/>
        <v>0.95472156697787591</v>
      </c>
      <c r="M97" s="1">
        <f t="shared" ca="1" si="5"/>
        <v>0.88942346455260912</v>
      </c>
      <c r="O97" s="2">
        <f t="shared" ca="1" si="7"/>
        <v>3.1883715800572303E-2</v>
      </c>
      <c r="P97" s="2">
        <f t="shared" ca="1" si="7"/>
        <v>2.5994060226817117E-2</v>
      </c>
    </row>
    <row r="98" spans="1:16" x14ac:dyDescent="0.25">
      <c r="A98" s="2">
        <v>-2.3632370987895071E-2</v>
      </c>
      <c r="B98" s="2">
        <v>8.0904911797368851E-3</v>
      </c>
      <c r="F98" s="1">
        <f t="shared" ca="1" si="6"/>
        <v>-0.79362006799043527</v>
      </c>
      <c r="G98" s="1">
        <f t="shared" ca="1" si="6"/>
        <v>1.2592091468065358</v>
      </c>
      <c r="I98" s="1">
        <f t="array" aca="1" ref="I98:J98" ca="1">TRANSPOSE(MMULT($D$11:$E$12,TRANSPOSE(F98:G98)))</f>
        <v>-0.79362006799029117</v>
      </c>
      <c r="J98" s="1">
        <f ca="1"/>
        <v>0.71348541872348858</v>
      </c>
      <c r="L98" s="1">
        <f t="shared" ca="1" si="4"/>
        <v>0.21370832303011542</v>
      </c>
      <c r="M98" s="1">
        <f t="shared" ca="1" si="5"/>
        <v>0.76222728358730485</v>
      </c>
      <c r="O98" s="2">
        <f t="shared" ca="1" si="7"/>
        <v>-1.5409973297870208E-2</v>
      </c>
      <c r="P98" s="2">
        <f t="shared" ca="1" si="7"/>
        <v>1.495117653444092E-2</v>
      </c>
    </row>
    <row r="99" spans="1:16" x14ac:dyDescent="0.25">
      <c r="A99" s="2">
        <v>1.0134533181061578E-2</v>
      </c>
      <c r="B99" s="2">
        <v>4.0825640737100063E-3</v>
      </c>
      <c r="F99" s="1">
        <f t="shared" ca="1" si="6"/>
        <v>0.15347986973593322</v>
      </c>
      <c r="G99" s="1">
        <f t="shared" ca="1" si="6"/>
        <v>-0.33967241667225201</v>
      </c>
      <c r="I99" s="1">
        <f t="array" aca="1" ref="I99:J99" ca="1">TRANSPOSE(MMULT($D$11:$E$12,TRANSPOSE(F99:G99)))</f>
        <v>0.15347986973590536</v>
      </c>
      <c r="J99" s="1">
        <f ca="1"/>
        <v>-0.22196772888801</v>
      </c>
      <c r="L99" s="1">
        <f t="shared" ca="1" si="4"/>
        <v>0.56099006807733942</v>
      </c>
      <c r="M99" s="1">
        <f t="shared" ca="1" si="5"/>
        <v>0.41216950264981911</v>
      </c>
      <c r="O99" s="2">
        <f t="shared" ca="1" si="7"/>
        <v>2.6070306234654275E-3</v>
      </c>
      <c r="P99" s="2">
        <f t="shared" ca="1" si="7"/>
        <v>-5.3046231376665792E-3</v>
      </c>
    </row>
    <row r="100" spans="1:16" x14ac:dyDescent="0.25">
      <c r="A100" s="2">
        <v>4.0265130304407828E-2</v>
      </c>
      <c r="B100" s="2">
        <v>1.3895356189814252E-2</v>
      </c>
      <c r="F100" s="1">
        <f t="shared" ca="1" si="6"/>
        <v>-0.71634988890310081</v>
      </c>
      <c r="G100" s="1">
        <f t="shared" ca="1" si="6"/>
        <v>-0.65784282441642739</v>
      </c>
      <c r="I100" s="1">
        <f t="array" aca="1" ref="I100:J100" ca="1">TRANSPOSE(MMULT($D$11:$E$12,TRANSPOSE(F100:G100)))</f>
        <v>-0.7163498889029708</v>
      </c>
      <c r="J100" s="1">
        <f ca="1"/>
        <v>-0.92338092126339255</v>
      </c>
      <c r="L100" s="1">
        <f t="shared" ca="1" si="4"/>
        <v>0.23688766445087589</v>
      </c>
      <c r="M100" s="1">
        <f t="shared" ca="1" si="5"/>
        <v>0.17790436532499349</v>
      </c>
      <c r="O100" s="2">
        <f t="shared" ca="1" si="7"/>
        <v>-1.3940036426201827E-2</v>
      </c>
      <c r="P100" s="2">
        <f t="shared" ca="1" si="7"/>
        <v>-2.0492647410614701E-2</v>
      </c>
    </row>
    <row r="101" spans="1:16" x14ac:dyDescent="0.25">
      <c r="A101" s="2">
        <v>-2.6754128938847026E-3</v>
      </c>
      <c r="B101" s="2">
        <v>-9.3376690212961869E-3</v>
      </c>
      <c r="F101" s="1">
        <f t="shared" ca="1" si="6"/>
        <v>-1.3686002437483151E-2</v>
      </c>
      <c r="G101" s="1">
        <f t="shared" ca="1" si="6"/>
        <v>0.2546194382644183</v>
      </c>
      <c r="I101" s="1">
        <f t="array" aca="1" ref="I101:J101" ca="1">TRANSPOSE(MMULT($D$11:$E$12,TRANSPOSE(F101:G101)))</f>
        <v>-1.3686002437480667E-2</v>
      </c>
      <c r="J101" s="1">
        <f ca="1"/>
        <v>0.21573904158810986</v>
      </c>
      <c r="L101" s="1">
        <f t="shared" ca="1" si="4"/>
        <v>0.49454024541994557</v>
      </c>
      <c r="M101" s="1">
        <f t="shared" ca="1" si="5"/>
        <v>0.5854044165160075</v>
      </c>
      <c r="O101" s="2">
        <f t="shared" ca="1" si="7"/>
        <v>-5.7302256257130851E-4</v>
      </c>
      <c r="P101" s="2">
        <f t="shared" ca="1" si="7"/>
        <v>4.1732440120964207E-3</v>
      </c>
    </row>
    <row r="102" spans="1:16" x14ac:dyDescent="0.25">
      <c r="A102" s="2">
        <v>-6.7012869311230553E-3</v>
      </c>
      <c r="B102" s="2">
        <v>0</v>
      </c>
      <c r="F102" s="1">
        <f t="shared" ca="1" si="6"/>
        <v>0.28317925892834916</v>
      </c>
      <c r="G102" s="1">
        <f t="shared" ca="1" si="6"/>
        <v>0.56610974529168501</v>
      </c>
      <c r="I102" s="1">
        <f t="array" aca="1" ref="I102:J102" ca="1">TRANSPOSE(MMULT($D$11:$E$12,TRANSPOSE(F102:G102)))</f>
        <v>0.28317925892829776</v>
      </c>
      <c r="J102" s="1">
        <f ca="1"/>
        <v>0.63235362527099326</v>
      </c>
      <c r="L102" s="1">
        <f t="shared" ca="1" si="4"/>
        <v>0.61148028656081799</v>
      </c>
      <c r="M102" s="1">
        <f t="shared" ca="1" si="5"/>
        <v>0.73642208506438478</v>
      </c>
      <c r="O102" s="2">
        <f t="shared" ca="1" si="7"/>
        <v>5.0743461733791613E-3</v>
      </c>
      <c r="P102" s="2">
        <f t="shared" ca="1" si="7"/>
        <v>1.3194392285642743E-2</v>
      </c>
    </row>
    <row r="103" spans="1:16" x14ac:dyDescent="0.25">
      <c r="A103" s="2">
        <v>-8.8066111483479221E-4</v>
      </c>
      <c r="B103" s="2">
        <v>-1.5523389915760636E-2</v>
      </c>
      <c r="F103" s="1">
        <f t="shared" ca="1" si="6"/>
        <v>-1.624105978768984</v>
      </c>
      <c r="G103" s="1">
        <f t="shared" ca="1" si="6"/>
        <v>0.47640704144241869</v>
      </c>
      <c r="I103" s="1">
        <f t="array" aca="1" ref="I103:J103" ca="1">TRANSPOSE(MMULT($D$11:$E$12,TRANSPOSE(F103:G103)))</f>
        <v>-1.6241059787686891</v>
      </c>
      <c r="J103" s="1">
        <f ca="1"/>
        <v>-0.37461399648316623</v>
      </c>
      <c r="L103" s="1">
        <f t="shared" ca="1" si="4"/>
        <v>5.2176596096716918E-2</v>
      </c>
      <c r="M103" s="1">
        <f t="shared" ca="1" si="5"/>
        <v>0.35397378108681099</v>
      </c>
      <c r="O103" s="2">
        <f t="shared" ca="1" si="7"/>
        <v>-3.1208588961420272E-2</v>
      </c>
      <c r="P103" s="2">
        <f t="shared" ca="1" si="7"/>
        <v>-8.6099433720333782E-3</v>
      </c>
    </row>
    <row r="104" spans="1:16" x14ac:dyDescent="0.25">
      <c r="A104" s="2">
        <v>-2.8020119154016473E-2</v>
      </c>
      <c r="B104" s="2">
        <v>-4.2671780656514169E-2</v>
      </c>
      <c r="F104" s="1">
        <f t="shared" ca="1" si="6"/>
        <v>-0.87017850749967762</v>
      </c>
      <c r="G104" s="1">
        <f t="shared" ca="1" si="6"/>
        <v>-0.23049980448135696</v>
      </c>
      <c r="I104" s="1">
        <f t="array" aca="1" ref="I104:J104" ca="1">TRANSPOSE(MMULT($D$11:$E$12,TRANSPOSE(F104:G104)))</f>
        <v>-0.87017850749951964</v>
      </c>
      <c r="J104" s="1">
        <f ca="1"/>
        <v>-0.62500534426865584</v>
      </c>
      <c r="L104" s="1">
        <f t="shared" ca="1" si="4"/>
        <v>0.19210142971115404</v>
      </c>
      <c r="M104" s="1">
        <f t="shared" ca="1" si="5"/>
        <v>0.26598377527125117</v>
      </c>
      <c r="O104" s="2">
        <f t="shared" ca="1" si="7"/>
        <v>-1.6866370505709393E-2</v>
      </c>
      <c r="P104" s="2">
        <f t="shared" ca="1" si="7"/>
        <v>-1.4031783036929419E-2</v>
      </c>
    </row>
    <row r="105" spans="1:16" x14ac:dyDescent="0.25">
      <c r="A105" s="2">
        <v>-4.9959276541811344E-3</v>
      </c>
      <c r="B105" s="2">
        <v>7.3545648396704556E-3</v>
      </c>
      <c r="F105" s="1">
        <f t="shared" ca="1" si="6"/>
        <v>-0.71726756931577951</v>
      </c>
      <c r="G105" s="1">
        <f t="shared" ca="1" si="6"/>
        <v>0.66842208258399294</v>
      </c>
      <c r="I105" s="1">
        <f t="array" aca="1" ref="I105:J105" ca="1">TRANSPOSE(MMULT($D$11:$E$12,TRANSPOSE(F105:G105)))</f>
        <v>-0.71726756931564928</v>
      </c>
      <c r="J105" s="1">
        <f ca="1"/>
        <v>0.23462495503837127</v>
      </c>
      <c r="L105" s="1">
        <f t="shared" ca="1" si="4"/>
        <v>0.23660450695415886</v>
      </c>
      <c r="M105" s="1">
        <f t="shared" ca="1" si="5"/>
        <v>0.59275008058664391</v>
      </c>
      <c r="O105" s="2">
        <f t="shared" ca="1" si="7"/>
        <v>-1.3957493772502003E-2</v>
      </c>
      <c r="P105" s="2">
        <f t="shared" ca="1" si="7"/>
        <v>4.5821894311695397E-3</v>
      </c>
    </row>
    <row r="106" spans="1:16" x14ac:dyDescent="0.25">
      <c r="A106" s="2">
        <v>-5.128116752715353E-3</v>
      </c>
      <c r="B106" s="2">
        <v>6.2305497506359416E-3</v>
      </c>
      <c r="F106" s="1">
        <f t="shared" ca="1" si="6"/>
        <v>-0.7415971068249424</v>
      </c>
      <c r="G106" s="1">
        <f t="shared" ca="1" si="6"/>
        <v>-0.38291314304672602</v>
      </c>
      <c r="I106" s="1">
        <f t="array" aca="1" ref="I106:J106" ca="1">TRANSPOSE(MMULT($D$11:$E$12,TRANSPOSE(F106:G106)))</f>
        <v>-0.74159710682480773</v>
      </c>
      <c r="J106" s="1">
        <f ca="1"/>
        <v>-0.69553039072130263</v>
      </c>
      <c r="L106" s="1">
        <f t="shared" ca="1" si="4"/>
        <v>0.22916573849417485</v>
      </c>
      <c r="M106" s="1">
        <f t="shared" ca="1" si="5"/>
        <v>0.24336148623028836</v>
      </c>
      <c r="O106" s="2">
        <f t="shared" ca="1" si="7"/>
        <v>-1.4420322831238053E-2</v>
      </c>
      <c r="P106" s="2">
        <f t="shared" ca="1" si="7"/>
        <v>-1.5558894487094931E-2</v>
      </c>
    </row>
    <row r="107" spans="1:16" x14ac:dyDescent="0.25">
      <c r="A107" s="2">
        <v>-8.0166235679905579E-3</v>
      </c>
      <c r="B107" s="2">
        <v>-3.5934621163925276E-2</v>
      </c>
      <c r="F107" s="1">
        <f t="shared" ca="1" si="6"/>
        <v>0.56611409103558352</v>
      </c>
      <c r="G107" s="1">
        <f t="shared" ca="1" si="6"/>
        <v>1.5986616491982821E-2</v>
      </c>
      <c r="I107" s="1">
        <f t="array" aca="1" ref="I107:J107" ca="1">TRANSPOSE(MMULT($D$11:$E$12,TRANSPOSE(F107:G107)))</f>
        <v>0.56611409103548072</v>
      </c>
      <c r="J107" s="1">
        <f ca="1"/>
        <v>0.28959226021312423</v>
      </c>
      <c r="L107" s="1">
        <f t="shared" ca="1" si="4"/>
        <v>0.71434188753945327</v>
      </c>
      <c r="M107" s="1">
        <f t="shared" ca="1" si="5"/>
        <v>0.61393590557222888</v>
      </c>
      <c r="O107" s="2">
        <f t="shared" ca="1" si="7"/>
        <v>1.0456711620256916E-2</v>
      </c>
      <c r="P107" s="2">
        <f t="shared" ca="1" si="7"/>
        <v>5.7724219136602636E-3</v>
      </c>
    </row>
    <row r="108" spans="1:16" x14ac:dyDescent="0.25">
      <c r="A108" s="2">
        <v>-2.9525233241393955E-2</v>
      </c>
      <c r="B108" s="2">
        <v>-5.7444550458226546E-3</v>
      </c>
      <c r="F108" s="1">
        <f t="shared" ca="1" si="6"/>
        <v>1.2961014392690464</v>
      </c>
      <c r="G108" s="1">
        <f t="shared" ca="1" si="6"/>
        <v>0.14289966104858204</v>
      </c>
      <c r="I108" s="1">
        <f t="array" aca="1" ref="I108:J108" ca="1">TRANSPOSE(MMULT($D$11:$E$12,TRANSPOSE(F108:G108)))</f>
        <v>1.2961014392688111</v>
      </c>
      <c r="J108" s="1">
        <f ca="1"/>
        <v>0.75586169744138265</v>
      </c>
      <c r="L108" s="1">
        <f t="shared" ca="1" si="4"/>
        <v>0.90252973040063522</v>
      </c>
      <c r="M108" s="1">
        <f t="shared" ca="1" si="5"/>
        <v>0.77513393964433996</v>
      </c>
      <c r="O108" s="2">
        <f t="shared" ca="1" si="7"/>
        <v>2.434350898107308E-2</v>
      </c>
      <c r="P108" s="2">
        <f t="shared" ca="1" si="7"/>
        <v>1.58687696974451E-2</v>
      </c>
    </row>
    <row r="109" spans="1:16" x14ac:dyDescent="0.25">
      <c r="A109" s="2">
        <v>-2.5537136761337838E-2</v>
      </c>
      <c r="B109" s="2">
        <v>2.1384573839917452E-2</v>
      </c>
      <c r="F109" s="1">
        <f t="shared" ca="1" si="6"/>
        <v>-0.28608409543866331</v>
      </c>
      <c r="G109" s="1">
        <f t="shared" ca="1" si="6"/>
        <v>1.5932253584147811</v>
      </c>
      <c r="I109" s="1">
        <f t="array" aca="1" ref="I109:J109" ca="1">TRANSPOSE(MMULT($D$11:$E$12,TRANSPOSE(F109:G109)))</f>
        <v>-0.28608409543861141</v>
      </c>
      <c r="J109" s="1">
        <f ca="1"/>
        <v>1.2523466150283382</v>
      </c>
      <c r="L109" s="1">
        <f t="shared" ca="1" si="4"/>
        <v>0.3874068563552665</v>
      </c>
      <c r="M109" s="1">
        <f t="shared" ca="1" si="5"/>
        <v>0.89477820503361372</v>
      </c>
      <c r="O109" s="2">
        <f t="shared" ca="1" si="7"/>
        <v>-5.7549440412574876E-3</v>
      </c>
      <c r="P109" s="2">
        <f t="shared" ca="1" si="7"/>
        <v>2.6619387252735861E-2</v>
      </c>
    </row>
    <row r="110" spans="1:16" x14ac:dyDescent="0.25">
      <c r="A110" s="2">
        <v>8.6741559981634801E-3</v>
      </c>
      <c r="B110" s="2">
        <v>2.6529043018558445E-2</v>
      </c>
      <c r="F110" s="1">
        <f t="shared" ca="1" si="6"/>
        <v>0.84275705168255211</v>
      </c>
      <c r="G110" s="1">
        <f t="shared" ca="1" si="6"/>
        <v>0.668626023511117</v>
      </c>
      <c r="I110" s="1">
        <f t="array" aca="1" ref="I110:J110" ca="1">TRANSPOSE(MMULT($D$11:$E$12,TRANSPOSE(F110:G110)))</f>
        <v>0.84275705168239912</v>
      </c>
      <c r="J110" s="1">
        <f ca="1"/>
        <v>0.99434457437535562</v>
      </c>
      <c r="L110" s="1">
        <f t="shared" ca="1" si="4"/>
        <v>0.80031783381338517</v>
      </c>
      <c r="M110" s="1">
        <f t="shared" ca="1" si="5"/>
        <v>0.83997242907698688</v>
      </c>
      <c r="O110" s="2">
        <f t="shared" ca="1" si="7"/>
        <v>1.5719384658491618E-2</v>
      </c>
      <c r="P110" s="2">
        <f t="shared" ca="1" si="7"/>
        <v>2.1032749735073516E-2</v>
      </c>
    </row>
    <row r="111" spans="1:16" x14ac:dyDescent="0.25">
      <c r="A111" s="2">
        <v>-5.8881628648273544E-3</v>
      </c>
      <c r="B111" s="2">
        <v>1.6800732871789296E-2</v>
      </c>
      <c r="F111" s="1">
        <f t="shared" ca="1" si="6"/>
        <v>1.0454291431353786</v>
      </c>
      <c r="G111" s="1">
        <f t="shared" ca="1" si="6"/>
        <v>-0.35317273504608626</v>
      </c>
      <c r="I111" s="1">
        <f t="array" aca="1" ref="I111:J111" ca="1">TRANSPOSE(MMULT($D$11:$E$12,TRANSPOSE(F111:G111)))</f>
        <v>1.0454291431351888</v>
      </c>
      <c r="J111" s="1">
        <f ca="1"/>
        <v>0.20051052026319283</v>
      </c>
      <c r="L111" s="1">
        <f t="shared" ca="1" si="4"/>
        <v>0.85208766339188013</v>
      </c>
      <c r="M111" s="1">
        <f t="shared" ca="1" si="5"/>
        <v>0.57945933445804432</v>
      </c>
      <c r="O111" s="2">
        <f t="shared" ca="1" si="7"/>
        <v>1.9574884718196822E-2</v>
      </c>
      <c r="P111" s="2">
        <f t="shared" ca="1" si="7"/>
        <v>3.8434937963346353E-3</v>
      </c>
    </row>
    <row r="112" spans="1:16" x14ac:dyDescent="0.25">
      <c r="A112" s="2">
        <v>-2.8378509392440652E-3</v>
      </c>
      <c r="B112" s="2">
        <v>-2.2521376888077864E-2</v>
      </c>
      <c r="F112" s="1">
        <f t="shared" ca="1" si="6"/>
        <v>0.26281290296107784</v>
      </c>
      <c r="G112" s="1">
        <f t="shared" ca="1" si="6"/>
        <v>-0.61381074198870822</v>
      </c>
      <c r="I112" s="1">
        <f t="array" aca="1" ref="I112:J112" ca="1">TRANSPOSE(MMULT($D$11:$E$12,TRANSPOSE(F112:G112)))</f>
        <v>0.26281290296103016</v>
      </c>
      <c r="J112" s="1">
        <f ca="1"/>
        <v>-0.40818750997347392</v>
      </c>
      <c r="L112" s="1">
        <f t="shared" ca="1" si="4"/>
        <v>0.60365260504008011</v>
      </c>
      <c r="M112" s="1">
        <f t="shared" ca="1" si="5"/>
        <v>0.34156800858338365</v>
      </c>
      <c r="O112" s="2">
        <f t="shared" ca="1" si="7"/>
        <v>4.6869100637257997E-3</v>
      </c>
      <c r="P112" s="2">
        <f t="shared" ca="1" si="7"/>
        <v>-9.3369261880994463E-3</v>
      </c>
    </row>
    <row r="113" spans="1:16" x14ac:dyDescent="0.25">
      <c r="A113" s="2">
        <v>1.3280708697218984E-2</v>
      </c>
      <c r="B113" s="2">
        <v>7.4644719468699447E-3</v>
      </c>
      <c r="F113" s="1">
        <f t="shared" ca="1" si="6"/>
        <v>0.52229109294249243</v>
      </c>
      <c r="G113" s="1">
        <f t="shared" ca="1" si="6"/>
        <v>0.52138370820455526</v>
      </c>
      <c r="I113" s="1">
        <f t="array" aca="1" ref="I113:J113" ca="1">TRANSPOSE(MMULT($D$11:$E$12,TRANSPOSE(F113:G113)))</f>
        <v>0.52229109294239762</v>
      </c>
      <c r="J113" s="1">
        <f ca="1"/>
        <v>0.70970503468215684</v>
      </c>
      <c r="L113" s="1">
        <f t="shared" ca="1" si="4"/>
        <v>0.69926616506907713</v>
      </c>
      <c r="M113" s="1">
        <f t="shared" ca="1" si="5"/>
        <v>0.76105646530349325</v>
      </c>
      <c r="O113" s="2">
        <f t="shared" ca="1" si="7"/>
        <v>9.6230518373375575E-3</v>
      </c>
      <c r="P113" s="2">
        <f t="shared" ca="1" si="7"/>
        <v>1.4869318130286342E-2</v>
      </c>
    </row>
    <row r="114" spans="1:16" x14ac:dyDescent="0.25">
      <c r="A114" s="2">
        <v>1.9721546790016441E-2</v>
      </c>
      <c r="B114" s="2">
        <v>2.8776252078778729E-2</v>
      </c>
      <c r="F114" s="1">
        <f t="shared" ca="1" si="6"/>
        <v>0.81102242982751027</v>
      </c>
      <c r="G114" s="1">
        <f t="shared" ca="1" si="6"/>
        <v>-1.4168804088158786</v>
      </c>
      <c r="I114" s="1">
        <f t="array" aca="1" ref="I114:J114" ca="1">TRANSPOSE(MMULT($D$11:$E$12,TRANSPOSE(F114:G114)))</f>
        <v>0.81102242982736306</v>
      </c>
      <c r="J114" s="1">
        <f ca="1"/>
        <v>-0.84273371876060466</v>
      </c>
      <c r="L114" s="1">
        <f t="shared" ca="1" si="4"/>
        <v>0.79132360497864185</v>
      </c>
      <c r="M114" s="1">
        <f t="shared" ca="1" si="5"/>
        <v>0.19968869233470654</v>
      </c>
      <c r="O114" s="2">
        <f t="shared" ca="1" si="7"/>
        <v>1.5115686164141622E-2</v>
      </c>
      <c r="P114" s="2">
        <f t="shared" ca="1" si="7"/>
        <v>-1.8746356233784092E-2</v>
      </c>
    </row>
    <row r="115" spans="1:16" x14ac:dyDescent="0.25">
      <c r="A115" s="2">
        <v>2.0274756904524818E-2</v>
      </c>
      <c r="B115" s="2">
        <v>2.5155171103093325E-3</v>
      </c>
      <c r="F115" s="1">
        <f t="shared" ca="1" si="6"/>
        <v>-0.39449259962716415</v>
      </c>
      <c r="G115" s="1">
        <f t="shared" ca="1" si="6"/>
        <v>0.95214447061947305</v>
      </c>
      <c r="I115" s="1">
        <f t="array" aca="1" ref="I115:J115" ca="1">TRANSPOSE(MMULT($D$11:$E$12,TRANSPOSE(F115:G115)))</f>
        <v>-0.39449259962709254</v>
      </c>
      <c r="J115" s="1">
        <f ca="1"/>
        <v>0.63959995703835293</v>
      </c>
      <c r="L115" s="1">
        <f t="shared" ca="1" si="4"/>
        <v>0.3466086949032266</v>
      </c>
      <c r="M115" s="1">
        <f t="shared" ca="1" si="5"/>
        <v>0.73878364479157965</v>
      </c>
      <c r="O115" s="2">
        <f t="shared" ca="1" si="7"/>
        <v>-7.8172358515169686E-3</v>
      </c>
      <c r="P115" s="2">
        <f t="shared" ca="1" si="7"/>
        <v>1.3351300458983166E-2</v>
      </c>
    </row>
    <row r="116" spans="1:16" x14ac:dyDescent="0.25">
      <c r="A116" s="2">
        <v>2.1903868405909264E-2</v>
      </c>
      <c r="B116" s="2">
        <v>2.1513215606850291E-2</v>
      </c>
      <c r="F116" s="1">
        <f t="shared" ca="1" si="6"/>
        <v>-2.1407256563571591</v>
      </c>
      <c r="G116" s="1">
        <f t="shared" ca="1" si="6"/>
        <v>0.63106439285949145</v>
      </c>
      <c r="I116" s="1">
        <f t="array" aca="1" ref="I116:J116" ca="1">TRANSPOSE(MMULT($D$11:$E$12,TRANSPOSE(F116:G116)))</f>
        <v>-2.1407256563567705</v>
      </c>
      <c r="J116" s="1">
        <f ca="1"/>
        <v>-0.4910561263381289</v>
      </c>
      <c r="L116" s="1">
        <f t="shared" ca="1" si="4"/>
        <v>1.6148084131723441E-2</v>
      </c>
      <c r="M116" s="1">
        <f t="shared" ca="1" si="5"/>
        <v>0.31169337559452837</v>
      </c>
      <c r="O116" s="2">
        <f t="shared" ca="1" si="7"/>
        <v>-4.1036420625405141E-2</v>
      </c>
      <c r="P116" s="2">
        <f t="shared" ca="1" si="7"/>
        <v>-1.113131866673195E-2</v>
      </c>
    </row>
    <row r="117" spans="1:16" x14ac:dyDescent="0.25">
      <c r="A117" s="2">
        <v>-1.3306929136851438E-2</v>
      </c>
      <c r="B117" s="2">
        <v>-2.0772139365597488E-2</v>
      </c>
      <c r="F117" s="1">
        <f t="shared" ca="1" si="6"/>
        <v>-0.71854885325191364</v>
      </c>
      <c r="G117" s="1">
        <f t="shared" ca="1" si="6"/>
        <v>0.63746614332031382</v>
      </c>
      <c r="I117" s="1">
        <f t="array" aca="1" ref="I117:J117" ca="1">TRANSPOSE(MMULT($D$11:$E$12,TRANSPOSE(F117:G117)))</f>
        <v>-0.71854885325178319</v>
      </c>
      <c r="J117" s="1">
        <f ca="1"/>
        <v>0.20696204041388971</v>
      </c>
      <c r="L117" s="1">
        <f t="shared" ca="1" si="4"/>
        <v>0.23620946844052973</v>
      </c>
      <c r="M117" s="1">
        <f t="shared" ca="1" si="5"/>
        <v>0.58198024800353765</v>
      </c>
      <c r="O117" s="2">
        <f t="shared" ca="1" si="7"/>
        <v>-1.3981868072174223E-2</v>
      </c>
      <c r="P117" s="2">
        <f t="shared" ca="1" si="7"/>
        <v>3.983191546122259E-3</v>
      </c>
    </row>
    <row r="118" spans="1:16" x14ac:dyDescent="0.25">
      <c r="A118" s="2">
        <v>-6.180767429461451E-3</v>
      </c>
      <c r="B118" s="2">
        <v>2.5116124959348691E-2</v>
      </c>
      <c r="F118" s="1">
        <f t="shared" ca="1" si="6"/>
        <v>-0.23209358459850421</v>
      </c>
      <c r="G118" s="1">
        <f t="shared" ca="1" si="6"/>
        <v>-1.2570753730345434</v>
      </c>
      <c r="I118" s="1">
        <f t="array" aca="1" ref="I118:J118" ca="1">TRANSPOSE(MMULT($D$11:$E$12,TRANSPOSE(F118:G118)))</f>
        <v>-0.23209358459846208</v>
      </c>
      <c r="J118" s="1">
        <f ca="1"/>
        <v>-1.2110189217576885</v>
      </c>
      <c r="L118" s="1">
        <f t="shared" ca="1" si="4"/>
        <v>0.40823266379848522</v>
      </c>
      <c r="M118" s="1">
        <f t="shared" ca="1" si="5"/>
        <v>0.11294407645184464</v>
      </c>
      <c r="O118" s="2">
        <f t="shared" ca="1" si="7"/>
        <v>-4.7278642086294115E-3</v>
      </c>
      <c r="P118" s="2">
        <f t="shared" ca="1" si="7"/>
        <v>-2.6721006073979554E-2</v>
      </c>
    </row>
    <row r="119" spans="1:16" x14ac:dyDescent="0.25">
      <c r="A119" s="2">
        <v>1.693496689152604E-2</v>
      </c>
      <c r="B119" s="2">
        <v>1.52396259693043E-3</v>
      </c>
      <c r="F119" s="1">
        <f t="shared" ca="1" si="6"/>
        <v>0.19686631309376645</v>
      </c>
      <c r="G119" s="1">
        <f t="shared" ca="1" si="6"/>
        <v>1.2963149755737635</v>
      </c>
      <c r="I119" s="1">
        <f t="array" aca="1" ref="I119:J119" ca="1">TRANSPOSE(MMULT($D$11:$E$12,TRANSPOSE(F119:G119)))</f>
        <v>0.1968663130937307</v>
      </c>
      <c r="J119" s="1">
        <f ca="1"/>
        <v>1.2281421600163871</v>
      </c>
      <c r="L119" s="1">
        <f t="shared" ca="1" si="4"/>
        <v>0.5780339219918067</v>
      </c>
      <c r="M119" s="1">
        <f t="shared" ca="1" si="5"/>
        <v>0.89030319657815227</v>
      </c>
      <c r="O119" s="2">
        <f t="shared" ca="1" si="7"/>
        <v>3.4323856773232496E-3</v>
      </c>
      <c r="P119" s="2">
        <f t="shared" ca="1" si="7"/>
        <v>2.6095276993289444E-2</v>
      </c>
    </row>
    <row r="120" spans="1:16" x14ac:dyDescent="0.25">
      <c r="A120" s="2">
        <v>-6.0562270919741505E-3</v>
      </c>
      <c r="B120" s="2">
        <v>1.6416748767040608E-3</v>
      </c>
      <c r="F120" s="1">
        <f t="shared" ca="1" si="6"/>
        <v>1.5754704897401977</v>
      </c>
      <c r="G120" s="1">
        <f t="shared" ca="1" si="6"/>
        <v>-2.0846084131103648</v>
      </c>
      <c r="I120" s="1">
        <f t="array" aca="1" ref="I120:J120" ca="1">TRANSPOSE(MMULT($D$11:$E$12,TRANSPOSE(F120:G120)))</f>
        <v>1.5754704897399117</v>
      </c>
      <c r="J120" s="1">
        <f ca="1"/>
        <v>-1.0537812798761128</v>
      </c>
      <c r="L120" s="1">
        <f t="shared" ca="1" si="4"/>
        <v>0.94242605754793451</v>
      </c>
      <c r="M120" s="1">
        <f t="shared" ca="1" si="5"/>
        <v>0.14599153305537785</v>
      </c>
      <c r="O120" s="2">
        <f t="shared" ca="1" si="7"/>
        <v>2.9658041352305032E-2</v>
      </c>
      <c r="P120" s="2">
        <f t="shared" ca="1" si="7"/>
        <v>-2.3316266688581153E-2</v>
      </c>
    </row>
    <row r="121" spans="1:16" x14ac:dyDescent="0.25">
      <c r="A121" s="2">
        <v>1.5645703279214402E-2</v>
      </c>
      <c r="B121" s="2">
        <v>1.2760802047525301E-2</v>
      </c>
      <c r="F121" s="1">
        <f t="shared" ca="1" si="6"/>
        <v>-0.51843580771242692</v>
      </c>
      <c r="G121" s="1">
        <f t="shared" ca="1" si="6"/>
        <v>0.92644744643443577</v>
      </c>
      <c r="I121" s="1">
        <f t="array" aca="1" ref="I121:J121" ca="1">TRANSPOSE(MMULT($D$11:$E$12,TRANSPOSE(F121:G121)))</f>
        <v>-0.51843580771233277</v>
      </c>
      <c r="J121" s="1">
        <f ca="1"/>
        <v>0.55680916942179626</v>
      </c>
      <c r="L121" s="1">
        <f t="shared" ca="1" si="4"/>
        <v>0.30207711837592882</v>
      </c>
      <c r="M121" s="1">
        <f t="shared" ca="1" si="5"/>
        <v>0.71117109083917951</v>
      </c>
      <c r="O121" s="2">
        <f t="shared" ca="1" si="7"/>
        <v>-1.0175049612391974E-2</v>
      </c>
      <c r="P121" s="2">
        <f t="shared" ca="1" si="7"/>
        <v>1.1558593242230669E-2</v>
      </c>
    </row>
    <row r="122" spans="1:16" x14ac:dyDescent="0.25">
      <c r="A122" s="2">
        <v>0</v>
      </c>
      <c r="B122" s="2">
        <v>-4.5132504655574441E-3</v>
      </c>
      <c r="F122" s="1">
        <f t="shared" ca="1" si="6"/>
        <v>-0.41949814429938165</v>
      </c>
      <c r="G122" s="1">
        <f t="shared" ca="1" si="6"/>
        <v>0.95218944764928459</v>
      </c>
      <c r="I122" s="1">
        <f t="array" aca="1" ref="I122:J122" ca="1">TRANSPOSE(MMULT($D$11:$E$12,TRANSPOSE(F122:G122)))</f>
        <v>-0.41949814429930549</v>
      </c>
      <c r="J122" s="1">
        <f ca="1"/>
        <v>0.62746459650328257</v>
      </c>
      <c r="L122" s="1">
        <f t="shared" ca="1" si="4"/>
        <v>0.33742605531531361</v>
      </c>
      <c r="M122" s="1">
        <f t="shared" ca="1" si="5"/>
        <v>0.73482263191404207</v>
      </c>
      <c r="O122" s="2">
        <f t="shared" ca="1" si="7"/>
        <v>-8.2929248242097717E-3</v>
      </c>
      <c r="P122" s="2">
        <f t="shared" ca="1" si="7"/>
        <v>1.3088527884456243E-2</v>
      </c>
    </row>
    <row r="123" spans="1:16" x14ac:dyDescent="0.25">
      <c r="A123" s="2">
        <v>0</v>
      </c>
      <c r="B123" s="2">
        <v>0</v>
      </c>
      <c r="F123" s="1">
        <f t="shared" ca="1" si="6"/>
        <v>1.4593883276456079</v>
      </c>
      <c r="G123" s="1">
        <f t="shared" ca="1" si="6"/>
        <v>0.35750051593095289</v>
      </c>
      <c r="I123" s="1">
        <f t="array" aca="1" ref="I123:J123" ca="1">TRANSPOSE(MMULT($D$11:$E$12,TRANSPOSE(F123:G123)))</f>
        <v>1.459388327645343</v>
      </c>
      <c r="J123" s="1">
        <f ca="1"/>
        <v>1.0228098912204295</v>
      </c>
      <c r="L123" s="1">
        <f t="shared" ca="1" si="4"/>
        <v>0.92777087159820903</v>
      </c>
      <c r="M123" s="1">
        <f t="shared" ca="1" si="5"/>
        <v>0.84680112979493471</v>
      </c>
      <c r="O123" s="2">
        <f t="shared" ca="1" si="7"/>
        <v>2.7449770940339704E-2</v>
      </c>
      <c r="P123" s="2">
        <f t="shared" ca="1" si="7"/>
        <v>2.1649122406531208E-2</v>
      </c>
    </row>
    <row r="124" spans="1:16" x14ac:dyDescent="0.25">
      <c r="A124" s="2">
        <v>-2.7123031017920313E-2</v>
      </c>
      <c r="B124" s="2">
        <v>-2.5926410466592199E-2</v>
      </c>
      <c r="F124" s="1">
        <f t="shared" ca="1" si="6"/>
        <v>-0.43046163628150541</v>
      </c>
      <c r="G124" s="1">
        <f t="shared" ca="1" si="6"/>
        <v>-0.82567676345538155</v>
      </c>
      <c r="I124" s="1">
        <f t="array" aca="1" ref="I124:J124" ca="1">TRANSPOSE(MMULT($D$11:$E$12,TRANSPOSE(F124:G124)))</f>
        <v>-0.43046163628142725</v>
      </c>
      <c r="J124" s="1">
        <f ca="1"/>
        <v>-0.93078617351204607</v>
      </c>
      <c r="L124" s="1">
        <f t="shared" ca="1" si="4"/>
        <v>0.33342993387105085</v>
      </c>
      <c r="M124" s="1">
        <f t="shared" ca="1" si="5"/>
        <v>0.17598209162224188</v>
      </c>
      <c r="O124" s="2">
        <f t="shared" ca="1" si="7"/>
        <v>-8.5014870573650713E-3</v>
      </c>
      <c r="P124" s="2">
        <f t="shared" ca="1" si="7"/>
        <v>-2.0652996762640631E-2</v>
      </c>
    </row>
    <row r="125" spans="1:16" x14ac:dyDescent="0.25">
      <c r="A125" s="2">
        <v>-9.7453968101974819E-3</v>
      </c>
      <c r="B125" s="2">
        <v>-3.9986996320257751E-3</v>
      </c>
      <c r="F125" s="1">
        <f t="shared" ca="1" si="6"/>
        <v>2.5710832438557012</v>
      </c>
      <c r="G125" s="1">
        <f t="shared" ca="1" si="6"/>
        <v>-0.62322470773253447</v>
      </c>
      <c r="I125" s="1">
        <f t="array" aca="1" ref="I125:J125" ca="1">TRANSPOSE(MMULT($D$11:$E$12,TRANSPOSE(F125:G125)))</f>
        <v>2.5710832438552345</v>
      </c>
      <c r="J125" s="1">
        <f ca="1"/>
        <v>0.70743544712047812</v>
      </c>
      <c r="L125" s="1">
        <f t="shared" ca="1" si="4"/>
        <v>0.99493095225911798</v>
      </c>
      <c r="M125" s="1">
        <f t="shared" ca="1" si="5"/>
        <v>0.76035204241488552</v>
      </c>
      <c r="O125" s="2">
        <f t="shared" ca="1" si="7"/>
        <v>4.8597921063513808E-2</v>
      </c>
      <c r="P125" s="2">
        <f t="shared" ca="1" si="7"/>
        <v>1.4820173701081052E-2</v>
      </c>
    </row>
    <row r="126" spans="1:16" x14ac:dyDescent="0.25">
      <c r="A126" s="2">
        <v>2.7813951623060717E-3</v>
      </c>
      <c r="B126" s="2">
        <v>1.3280731293799024E-2</v>
      </c>
      <c r="F126" s="1">
        <f t="shared" ca="1" si="6"/>
        <v>0.5545108228651956</v>
      </c>
      <c r="G126" s="1">
        <f t="shared" ca="1" si="6"/>
        <v>-1.2274390029792646</v>
      </c>
      <c r="I126" s="1">
        <f t="array" aca="1" ref="I126:J126" ca="1">TRANSPOSE(MMULT($D$11:$E$12,TRANSPOSE(F126:G126)))</f>
        <v>0.5545108228650949</v>
      </c>
      <c r="J126" s="1">
        <f ca="1"/>
        <v>-0.80215215239506121</v>
      </c>
      <c r="L126" s="1">
        <f t="shared" ca="1" si="4"/>
        <v>0.71038534957799049</v>
      </c>
      <c r="M126" s="1">
        <f t="shared" ca="1" si="5"/>
        <v>0.21123247509975698</v>
      </c>
      <c r="O126" s="2">
        <f t="shared" ca="1" si="7"/>
        <v>1.0235978707288877E-2</v>
      </c>
      <c r="P126" s="2">
        <f t="shared" ca="1" si="7"/>
        <v>-1.7867624807437803E-2</v>
      </c>
    </row>
    <row r="127" spans="1:16" x14ac:dyDescent="0.25">
      <c r="A127" s="2">
        <v>-1.1622199827788036E-2</v>
      </c>
      <c r="B127" s="2">
        <v>-3.1518998090297847E-3</v>
      </c>
      <c r="F127" s="1">
        <f t="shared" ca="1" si="6"/>
        <v>2.292447810167471</v>
      </c>
      <c r="G127" s="1">
        <f t="shared" ca="1" si="6"/>
        <v>2.6004274365584763</v>
      </c>
      <c r="I127" s="1">
        <f t="array" aca="1" ref="I127:J127" ca="1">TRANSPOSE(MMULT($D$11:$E$12,TRANSPOSE(F127:G127)))</f>
        <v>2.2924478101670549</v>
      </c>
      <c r="J127" s="1">
        <f ca="1"/>
        <v>3.3875376169434981</v>
      </c>
      <c r="L127" s="1">
        <f t="shared" ca="1" si="4"/>
        <v>0.98906009207137346</v>
      </c>
      <c r="M127" s="1">
        <f t="shared" ca="1" si="5"/>
        <v>0.9996473847719487</v>
      </c>
      <c r="O127" s="2">
        <f t="shared" ca="1" si="7"/>
        <v>4.3297344533612031E-2</v>
      </c>
      <c r="P127" s="2">
        <f t="shared" ca="1" si="7"/>
        <v>7.2853665588226368E-2</v>
      </c>
    </row>
    <row r="128" spans="1:16" x14ac:dyDescent="0.25">
      <c r="A128" s="2">
        <v>0</v>
      </c>
      <c r="B128" s="2">
        <v>0</v>
      </c>
      <c r="F128" s="1">
        <f t="shared" ca="1" si="6"/>
        <v>-0.24252397174682702</v>
      </c>
      <c r="G128" s="1">
        <f t="shared" ca="1" si="6"/>
        <v>1.7201109756166892</v>
      </c>
      <c r="I128" s="1">
        <f t="array" aca="1" ref="I128:J128" ca="1">TRANSPOSE(MMULT($D$11:$E$12,TRANSPOSE(F128:G128)))</f>
        <v>-0.242523971746783</v>
      </c>
      <c r="J128" s="1">
        <f ca="1"/>
        <v>1.3843858621812726</v>
      </c>
      <c r="L128" s="1">
        <f t="shared" ca="1" si="4"/>
        <v>0.40418709220978349</v>
      </c>
      <c r="M128" s="1">
        <f t="shared" ca="1" si="5"/>
        <v>0.91687983220670111</v>
      </c>
      <c r="O128" s="2">
        <f t="shared" ca="1" si="7"/>
        <v>-4.9262850073927564E-3</v>
      </c>
      <c r="P128" s="2">
        <f t="shared" ca="1" si="7"/>
        <v>2.9478494142284196E-2</v>
      </c>
    </row>
    <row r="129" spans="1:16" x14ac:dyDescent="0.25">
      <c r="A129" s="2">
        <v>-1.5479186848460088E-2</v>
      </c>
      <c r="B129" s="2">
        <v>3.5230871181751409E-2</v>
      </c>
      <c r="F129" s="1">
        <f t="shared" ca="1" si="6"/>
        <v>0.42247453307534583</v>
      </c>
      <c r="G129" s="1">
        <f t="shared" ca="1" si="6"/>
        <v>-0.18629608390805141</v>
      </c>
      <c r="I129" s="1">
        <f t="array" aca="1" ref="I129:J129" ca="1">TRANSPOSE(MMULT($D$11:$E$12,TRANSPOSE(F129:G129)))</f>
        <v>0.42247453307526917</v>
      </c>
      <c r="J129" s="1">
        <f ca="1"/>
        <v>4.2969456061706074E-2</v>
      </c>
      <c r="L129" s="1">
        <f t="shared" ca="1" si="4"/>
        <v>0.66366065726749524</v>
      </c>
      <c r="M129" s="1">
        <f t="shared" ca="1" si="5"/>
        <v>0.5171370590561748</v>
      </c>
      <c r="O129" s="2">
        <f t="shared" ca="1" si="7"/>
        <v>7.7242075032772136E-3</v>
      </c>
      <c r="P129" s="2">
        <f t="shared" ca="1" si="7"/>
        <v>4.3218426710394959E-4</v>
      </c>
    </row>
    <row r="130" spans="1:16" x14ac:dyDescent="0.25">
      <c r="A130" s="2">
        <v>3.6428215598843072E-2</v>
      </c>
      <c r="B130" s="2">
        <v>1.0455426880493548E-2</v>
      </c>
      <c r="F130" s="1">
        <f t="shared" ca="1" si="6"/>
        <v>0.31769900444193949</v>
      </c>
      <c r="G130" s="1">
        <f t="shared" ca="1" si="6"/>
        <v>-1.0534173831283633</v>
      </c>
      <c r="I130" s="1">
        <f t="array" aca="1" ref="I130:J130" ca="1">TRANSPOSE(MMULT($D$11:$E$12,TRANSPOSE(F130:G130)))</f>
        <v>0.31769900444188182</v>
      </c>
      <c r="J130" s="1">
        <f ca="1"/>
        <v>-0.76544791594902895</v>
      </c>
      <c r="L130" s="1">
        <f t="shared" ca="1" si="4"/>
        <v>0.62464336676823806</v>
      </c>
      <c r="M130" s="1">
        <f t="shared" ca="1" si="5"/>
        <v>0.22200243485185986</v>
      </c>
      <c r="O130" s="2">
        <f t="shared" ca="1" si="7"/>
        <v>5.7310270214160838E-3</v>
      </c>
      <c r="P130" s="2">
        <f t="shared" ca="1" si="7"/>
        <v>-1.7072850999185828E-2</v>
      </c>
    </row>
    <row r="131" spans="1:16" x14ac:dyDescent="0.25">
      <c r="A131" s="2">
        <v>6.7147752320904433E-3</v>
      </c>
      <c r="B131" s="2">
        <v>1.0047921698671516E-3</v>
      </c>
      <c r="F131" s="1">
        <f t="shared" ca="1" si="6"/>
        <v>2.9164430795965438E-2</v>
      </c>
      <c r="G131" s="1">
        <f t="shared" ca="1" si="6"/>
        <v>-0.55671795597112117</v>
      </c>
      <c r="I131" s="1">
        <f t="array" aca="1" ref="I131:J131" ca="1">TRANSPOSE(MMULT($D$11:$E$12,TRANSPOSE(F131:G131)))</f>
        <v>2.9164430795960143E-2</v>
      </c>
      <c r="J131" s="1">
        <f ca="1"/>
        <v>-0.47207694453370214</v>
      </c>
      <c r="L131" s="1">
        <f t="shared" ref="L131:L194" ca="1" si="8">NORMSDIST(I131)</f>
        <v>0.51163327536406</v>
      </c>
      <c r="M131" s="1">
        <f t="shared" ref="M131:M194" ca="1" si="9">NORMSDIST(J131)</f>
        <v>0.31843593413741045</v>
      </c>
      <c r="O131" s="2">
        <f t="shared" ca="1" si="7"/>
        <v>2.4213578856462694E-4</v>
      </c>
      <c r="P131" s="2">
        <f t="shared" ca="1" si="7"/>
        <v>-1.0720353664847502E-2</v>
      </c>
    </row>
    <row r="132" spans="1:16" x14ac:dyDescent="0.25">
      <c r="A132" s="2">
        <v>-3.8691554167563673E-3</v>
      </c>
      <c r="B132" s="2">
        <v>8.3853095376142783E-3</v>
      </c>
      <c r="F132" s="1">
        <f t="shared" ref="F132:G195" ca="1" si="10">NORMSINV(RAND())</f>
        <v>0.4542915602809014</v>
      </c>
      <c r="G132" s="1">
        <f t="shared" ca="1" si="10"/>
        <v>2.5739880846640153</v>
      </c>
      <c r="I132" s="1">
        <f t="array" aca="1" ref="I132:J132" ca="1">TRANSPOSE(MMULT($D$11:$E$12,TRANSPOSE(F132:G132)))</f>
        <v>0.45429156028081891</v>
      </c>
      <c r="J132" s="1">
        <f ca="1"/>
        <v>2.4694860135399312</v>
      </c>
      <c r="L132" s="1">
        <f t="shared" ca="1" si="8"/>
        <v>0.67519050512281886</v>
      </c>
      <c r="M132" s="1">
        <f t="shared" ca="1" si="9"/>
        <v>0.99323463460662464</v>
      </c>
      <c r="O132" s="2">
        <f t="shared" ref="O132:P195" ca="1" si="11">NORMINV(L132,D$16,D$17)</f>
        <v>8.3294736226097628E-3</v>
      </c>
      <c r="P132" s="2">
        <f t="shared" ca="1" si="11"/>
        <v>5.2974669601434841E-2</v>
      </c>
    </row>
    <row r="133" spans="1:16" x14ac:dyDescent="0.25">
      <c r="A133" s="2">
        <v>5.0065852399106955E-3</v>
      </c>
      <c r="B133" s="2">
        <v>-7.0082390043997828E-2</v>
      </c>
      <c r="F133" s="1">
        <f t="shared" ca="1" si="10"/>
        <v>-0.4547095184877803</v>
      </c>
      <c r="G133" s="1">
        <f t="shared" ca="1" si="10"/>
        <v>-0.2912121498059102</v>
      </c>
      <c r="I133" s="1">
        <f t="array" aca="1" ref="I133:J133" ca="1">TRANSPOSE(MMULT($D$11:$E$12,TRANSPOSE(F133:G133)))</f>
        <v>-0.45470951848769775</v>
      </c>
      <c r="J133" s="1">
        <f ca="1"/>
        <v>-0.4757530982449672</v>
      </c>
      <c r="L133" s="1">
        <f t="shared" ca="1" si="8"/>
        <v>0.32465911606353892</v>
      </c>
      <c r="M133" s="1">
        <f t="shared" ca="1" si="9"/>
        <v>0.31712514372323153</v>
      </c>
      <c r="O133" s="2">
        <f t="shared" ca="1" si="11"/>
        <v>-8.9627627595294142E-3</v>
      </c>
      <c r="P133" s="2">
        <f t="shared" ca="1" si="11"/>
        <v>-1.0799955121456407E-2</v>
      </c>
    </row>
    <row r="134" spans="1:16" x14ac:dyDescent="0.25">
      <c r="A134" s="2">
        <v>-3.0072040939073116E-2</v>
      </c>
      <c r="B134" s="2">
        <v>1.6663996598649016E-2</v>
      </c>
      <c r="F134" s="1">
        <f t="shared" ca="1" si="10"/>
        <v>0.32959222782799186</v>
      </c>
      <c r="G134" s="1">
        <f t="shared" ca="1" si="10"/>
        <v>-0.59871331751390156</v>
      </c>
      <c r="I134" s="1">
        <f t="array" aca="1" ref="I134:J134" ca="1">TRANSPOSE(MMULT($D$11:$E$12,TRANSPOSE(F134:G134)))</f>
        <v>0.32959222782793202</v>
      </c>
      <c r="J134" s="1">
        <f ca="1"/>
        <v>-0.36248698562298287</v>
      </c>
      <c r="L134" s="1">
        <f t="shared" ca="1" si="8"/>
        <v>0.62914595197668133</v>
      </c>
      <c r="M134" s="1">
        <f t="shared" ca="1" si="9"/>
        <v>0.35849407359715013</v>
      </c>
      <c r="O134" s="2">
        <f t="shared" ca="1" si="11"/>
        <v>5.9572758509727885E-3</v>
      </c>
      <c r="P134" s="2">
        <f t="shared" ca="1" si="11"/>
        <v>-8.3473515968786882E-3</v>
      </c>
    </row>
    <row r="135" spans="1:16" x14ac:dyDescent="0.25">
      <c r="A135" s="2">
        <v>-6.7815260573830327E-3</v>
      </c>
      <c r="B135" s="2">
        <v>-8.3991486036740746E-3</v>
      </c>
      <c r="F135" s="1">
        <f t="shared" ca="1" si="10"/>
        <v>2.5557450882700938</v>
      </c>
      <c r="G135" s="1">
        <f t="shared" ca="1" si="10"/>
        <v>3.7717927344208105E-2</v>
      </c>
      <c r="I135" s="1">
        <f t="array" aca="1" ref="I135:J135" ca="1">TRANSPOSE(MMULT($D$11:$E$12,TRANSPOSE(F135:G135)))</f>
        <v>2.5557450882696298</v>
      </c>
      <c r="J135" s="1">
        <f ca="1"/>
        <v>1.2772812349089175</v>
      </c>
      <c r="L135" s="1">
        <f t="shared" ca="1" si="8"/>
        <v>0.99470196443906678</v>
      </c>
      <c r="M135" s="1">
        <f t="shared" ca="1" si="9"/>
        <v>0.89924851193791755</v>
      </c>
      <c r="O135" s="2">
        <f t="shared" ca="1" si="11"/>
        <v>4.8306138118204618E-2</v>
      </c>
      <c r="P135" s="2">
        <f t="shared" ca="1" si="11"/>
        <v>2.7159308109799354E-2</v>
      </c>
    </row>
    <row r="136" spans="1:16" x14ac:dyDescent="0.25">
      <c r="A136" s="2">
        <v>-2.4615497073557296E-2</v>
      </c>
      <c r="B136" s="2">
        <v>1.5878512384885398E-3</v>
      </c>
      <c r="F136" s="1">
        <f t="shared" ca="1" si="10"/>
        <v>-1.7957372000173413</v>
      </c>
      <c r="G136" s="1">
        <f t="shared" ca="1" si="10"/>
        <v>-0.31476958149812456</v>
      </c>
      <c r="I136" s="1">
        <f t="array" aca="1" ref="I136:J136" ca="1">TRANSPOSE(MMULT($D$11:$E$12,TRANSPOSE(F136:G136)))</f>
        <v>-1.7957372000170153</v>
      </c>
      <c r="J136" s="1">
        <f ca="1"/>
        <v>-1.1492465263159</v>
      </c>
      <c r="L136" s="1">
        <f t="shared" ca="1" si="8"/>
        <v>3.6268161305943993E-2</v>
      </c>
      <c r="M136" s="1">
        <f t="shared" ca="1" si="9"/>
        <v>0.12522717042689877</v>
      </c>
      <c r="O136" s="2">
        <f t="shared" ca="1" si="11"/>
        <v>-3.4473588000147576E-2</v>
      </c>
      <c r="P136" s="2">
        <f t="shared" ca="1" si="11"/>
        <v>-2.5383419824438456E-2</v>
      </c>
    </row>
    <row r="137" spans="1:16" x14ac:dyDescent="0.25">
      <c r="A137" s="2">
        <v>5.1732959549926263E-3</v>
      </c>
      <c r="B137" s="2">
        <v>2.8473225191844259E-4</v>
      </c>
      <c r="F137" s="1">
        <f t="shared" ca="1" si="10"/>
        <v>0.93961950177961961</v>
      </c>
      <c r="G137" s="1">
        <f t="shared" ca="1" si="10"/>
        <v>5.7055846644890239E-2</v>
      </c>
      <c r="I137" s="1">
        <f t="array" aca="1" ref="I137:J137" ca="1">TRANSPOSE(MMULT($D$11:$E$12,TRANSPOSE(F137:G137)))</f>
        <v>0.93961950177944908</v>
      </c>
      <c r="J137" s="1">
        <f ca="1"/>
        <v>0.50731652595532817</v>
      </c>
      <c r="L137" s="1">
        <f t="shared" ca="1" si="8"/>
        <v>0.82629361533863221</v>
      </c>
      <c r="M137" s="1">
        <f t="shared" ca="1" si="9"/>
        <v>0.69403362754585229</v>
      </c>
      <c r="O137" s="2">
        <f t="shared" ca="1" si="11"/>
        <v>1.756203195864724E-2</v>
      </c>
      <c r="P137" s="2">
        <f t="shared" ca="1" si="11"/>
        <v>1.0486906141856333E-2</v>
      </c>
    </row>
    <row r="138" spans="1:16" x14ac:dyDescent="0.25">
      <c r="A138" s="2">
        <v>3.5323805423726026E-2</v>
      </c>
      <c r="B138" s="2">
        <v>2.4783868489831204E-2</v>
      </c>
      <c r="F138" s="1">
        <f t="shared" ca="1" si="10"/>
        <v>-0.67670292199863225</v>
      </c>
      <c r="G138" s="1">
        <f t="shared" ca="1" si="10"/>
        <v>-0.76300236931429843</v>
      </c>
      <c r="I138" s="1">
        <f t="array" aca="1" ref="I138:J138" ca="1">TRANSPOSE(MMULT($D$11:$E$12,TRANSPOSE(F138:G138)))</f>
        <v>-0.67670292199850945</v>
      </c>
      <c r="J138" s="1">
        <f ca="1"/>
        <v>-0.99593140293395499</v>
      </c>
      <c r="L138" s="1">
        <f t="shared" ca="1" si="8"/>
        <v>0.24929723108754376</v>
      </c>
      <c r="M138" s="1">
        <f t="shared" ca="1" si="9"/>
        <v>0.15964173803480136</v>
      </c>
      <c r="O138" s="2">
        <f t="shared" ca="1" si="11"/>
        <v>-1.3185818703517057E-2</v>
      </c>
      <c r="P138" s="2">
        <f t="shared" ca="1" si="11"/>
        <v>-2.2063616546360399E-2</v>
      </c>
    </row>
    <row r="139" spans="1:16" x14ac:dyDescent="0.25">
      <c r="A139" s="2">
        <v>-2.0316918233615134E-2</v>
      </c>
      <c r="B139" s="2">
        <v>-6.74696908097943E-4</v>
      </c>
      <c r="F139" s="1">
        <f t="shared" ca="1" si="10"/>
        <v>0.24848917908424586</v>
      </c>
      <c r="G139" s="1">
        <f t="shared" ca="1" si="10"/>
        <v>-2.3882683610527109</v>
      </c>
      <c r="I139" s="1">
        <f t="array" aca="1" ref="I139:J139" ca="1">TRANSPOSE(MMULT($D$11:$E$12,TRANSPOSE(F139:G139)))</f>
        <v>0.24848917908420076</v>
      </c>
      <c r="J139" s="1">
        <f ca="1"/>
        <v>-1.9650969995159913</v>
      </c>
      <c r="L139" s="1">
        <f t="shared" ca="1" si="8"/>
        <v>0.59812202928789271</v>
      </c>
      <c r="M139" s="1">
        <f t="shared" ca="1" si="9"/>
        <v>2.4701505916658109E-2</v>
      </c>
      <c r="O139" s="2">
        <f t="shared" ca="1" si="11"/>
        <v>4.4144249974966306E-3</v>
      </c>
      <c r="P139" s="2">
        <f t="shared" ca="1" si="11"/>
        <v>-4.3049407468747934E-2</v>
      </c>
    </row>
    <row r="140" spans="1:16" x14ac:dyDescent="0.25">
      <c r="A140" s="2">
        <v>-1.5922115521182119E-2</v>
      </c>
      <c r="B140" s="2">
        <v>-1.0215571679892059E-2</v>
      </c>
      <c r="F140" s="1">
        <f t="shared" ca="1" si="10"/>
        <v>-1.2595756820225688</v>
      </c>
      <c r="G140" s="1">
        <f t="shared" ca="1" si="10"/>
        <v>1.1945953333988868</v>
      </c>
      <c r="I140" s="1">
        <f t="array" aca="1" ref="I140:J140" ca="1">TRANSPOSE(MMULT($D$11:$E$12,TRANSPOSE(F140:G140)))</f>
        <v>-1.25957568202234</v>
      </c>
      <c r="J140" s="1">
        <f ca="1"/>
        <v>0.43018370551919849</v>
      </c>
      <c r="L140" s="1">
        <f t="shared" ca="1" si="8"/>
        <v>0.10391123630914634</v>
      </c>
      <c r="M140" s="1">
        <f t="shared" ca="1" si="9"/>
        <v>0.66646899296101392</v>
      </c>
      <c r="O140" s="2">
        <f t="shared" ca="1" si="11"/>
        <v>-2.427400526617424E-2</v>
      </c>
      <c r="P140" s="2">
        <f t="shared" ca="1" si="11"/>
        <v>8.8167135053911719E-3</v>
      </c>
    </row>
    <row r="141" spans="1:16" x14ac:dyDescent="0.25">
      <c r="A141" s="2">
        <v>-3.278502168772815E-2</v>
      </c>
      <c r="B141" s="2">
        <v>-2.7199562729761449E-2</v>
      </c>
      <c r="F141" s="1">
        <f t="shared" ca="1" si="10"/>
        <v>0.27436782703795404</v>
      </c>
      <c r="G141" s="1">
        <f t="shared" ca="1" si="10"/>
        <v>-1.1791622398064781</v>
      </c>
      <c r="I141" s="1">
        <f t="array" aca="1" ref="I141:J141" ca="1">TRANSPOSE(MMULT($D$11:$E$12,TRANSPOSE(F141:G141)))</f>
        <v>0.27436782703790424</v>
      </c>
      <c r="J141" s="1">
        <f ca="1"/>
        <v>-0.89637927406655871</v>
      </c>
      <c r="L141" s="1">
        <f t="shared" ca="1" si="8"/>
        <v>0.60809901751663797</v>
      </c>
      <c r="M141" s="1">
        <f t="shared" ca="1" si="9"/>
        <v>0.18502511643663869</v>
      </c>
      <c r="O141" s="2">
        <f t="shared" ca="1" si="11"/>
        <v>4.9067233105765887E-3</v>
      </c>
      <c r="P141" s="2">
        <f t="shared" ca="1" si="11"/>
        <v>-1.9907968255028417E-2</v>
      </c>
    </row>
    <row r="142" spans="1:16" x14ac:dyDescent="0.25">
      <c r="A142" s="2">
        <v>-1.280703961329667E-2</v>
      </c>
      <c r="B142" s="2">
        <v>2.099759916759559E-3</v>
      </c>
      <c r="F142" s="1">
        <f t="shared" ca="1" si="10"/>
        <v>-1.2477637141011741</v>
      </c>
      <c r="G142" s="1">
        <f t="shared" ca="1" si="10"/>
        <v>0.24211632595896912</v>
      </c>
      <c r="I142" s="1">
        <f t="array" aca="1" ref="I142:J142" ca="1">TRANSPOSE(MMULT($D$11:$E$12,TRANSPOSE(F142:G142)))</f>
        <v>-1.2477637141009477</v>
      </c>
      <c r="J142" s="1">
        <f ca="1"/>
        <v>-0.39602719478755011</v>
      </c>
      <c r="L142" s="1">
        <f t="shared" ca="1" si="8"/>
        <v>0.10605880032179457</v>
      </c>
      <c r="M142" s="1">
        <f t="shared" ca="1" si="9"/>
        <v>0.34604248318034558</v>
      </c>
      <c r="O142" s="2">
        <f t="shared" ca="1" si="11"/>
        <v>-2.4049302186930722E-2</v>
      </c>
      <c r="P142" s="2">
        <f t="shared" ca="1" si="11"/>
        <v>-9.0736132589755419E-3</v>
      </c>
    </row>
    <row r="143" spans="1:16" x14ac:dyDescent="0.25">
      <c r="A143" s="2">
        <v>-1.2362489711509515E-2</v>
      </c>
      <c r="B143" s="2">
        <v>1.3724584355096863E-2</v>
      </c>
      <c r="F143" s="1">
        <f t="shared" ca="1" si="10"/>
        <v>1.1164794377021483</v>
      </c>
      <c r="G143" s="1">
        <f t="shared" ca="1" si="10"/>
        <v>0.55743603900910577</v>
      </c>
      <c r="I143" s="1">
        <f t="array" aca="1" ref="I143:J143" ca="1">TRANSPOSE(MMULT($D$11:$E$12,TRANSPOSE(F143:G143)))</f>
        <v>1.1164794377019456</v>
      </c>
      <c r="J143" s="1">
        <f ca="1"/>
        <v>1.0304928285652664</v>
      </c>
      <c r="L143" s="1">
        <f t="shared" ca="1" si="8"/>
        <v>0.86789151648165019</v>
      </c>
      <c r="M143" s="1">
        <f t="shared" ca="1" si="9"/>
        <v>0.8486106415007042</v>
      </c>
      <c r="O143" s="2">
        <f t="shared" ca="1" si="11"/>
        <v>2.0926498613235894E-2</v>
      </c>
      <c r="P143" s="2">
        <f t="shared" ca="1" si="11"/>
        <v>2.1815484602380079E-2</v>
      </c>
    </row>
    <row r="144" spans="1:16" x14ac:dyDescent="0.25">
      <c r="A144" s="2">
        <v>-2.0407613554144647E-3</v>
      </c>
      <c r="B144" s="2">
        <v>2.274146976084317E-2</v>
      </c>
      <c r="F144" s="1">
        <f t="shared" ca="1" si="10"/>
        <v>-1.1876842811745356</v>
      </c>
      <c r="G144" s="1">
        <f t="shared" ca="1" si="10"/>
        <v>-0.26529084955627019</v>
      </c>
      <c r="I144" s="1">
        <f t="array" aca="1" ref="I144:J144" ca="1">TRANSPOSE(MMULT($D$11:$E$12,TRANSPOSE(F144:G144)))</f>
        <v>-1.18768428117432</v>
      </c>
      <c r="J144" s="1">
        <f ca="1"/>
        <v>-0.80998081869858995</v>
      </c>
      <c r="L144" s="1">
        <f t="shared" ca="1" si="8"/>
        <v>0.11747890945253095</v>
      </c>
      <c r="M144" s="1">
        <f t="shared" ca="1" si="9"/>
        <v>0.20897560002385107</v>
      </c>
      <c r="O144" s="2">
        <f t="shared" ca="1" si="11"/>
        <v>-2.2906390720555354E-2</v>
      </c>
      <c r="P144" s="2">
        <f t="shared" ca="1" si="11"/>
        <v>-1.8037142539831925E-2</v>
      </c>
    </row>
    <row r="145" spans="1:16" x14ac:dyDescent="0.25">
      <c r="A145" s="2">
        <v>8.7014764975311843E-3</v>
      </c>
      <c r="B145" s="2">
        <v>-1.0364026279681993E-2</v>
      </c>
      <c r="F145" s="1">
        <f t="shared" ca="1" si="10"/>
        <v>-0.22919898895728766</v>
      </c>
      <c r="G145" s="1">
        <f t="shared" ca="1" si="10"/>
        <v>-2.5499136988209421</v>
      </c>
      <c r="I145" s="1">
        <f t="array" aca="1" ref="I145:J145" ca="1">TRANSPOSE(MMULT($D$11:$E$12,TRANSPOSE(F145:G145)))</f>
        <v>-0.22919898895724605</v>
      </c>
      <c r="J145" s="1">
        <f ca="1"/>
        <v>-2.3388651641969682</v>
      </c>
      <c r="L145" s="1">
        <f t="shared" ca="1" si="8"/>
        <v>0.40935712918176165</v>
      </c>
      <c r="M145" s="1">
        <f t="shared" ca="1" si="9"/>
        <v>9.6712064477554958E-3</v>
      </c>
      <c r="O145" s="2">
        <f t="shared" ca="1" si="11"/>
        <v>-4.6727993322197708E-3</v>
      </c>
      <c r="P145" s="2">
        <f t="shared" ca="1" si="11"/>
        <v>-5.1142782414270539E-2</v>
      </c>
    </row>
    <row r="146" spans="1:16" x14ac:dyDescent="0.25">
      <c r="A146" s="2">
        <v>-1.0242991094590653E-2</v>
      </c>
      <c r="B146" s="2">
        <v>-7.615993954658884E-4</v>
      </c>
      <c r="F146" s="1">
        <f t="shared" ca="1" si="10"/>
        <v>1.2816012153212917</v>
      </c>
      <c r="G146" s="1">
        <f t="shared" ca="1" si="10"/>
        <v>-0.37257671516886581</v>
      </c>
      <c r="I146" s="1">
        <f t="array" aca="1" ref="I146:J146" ca="1">TRANSPOSE(MMULT($D$11:$E$12,TRANSPOSE(F146:G146)))</f>
        <v>1.281601215321059</v>
      </c>
      <c r="J146" s="1">
        <f ca="1"/>
        <v>0.29854868302450949</v>
      </c>
      <c r="L146" s="1">
        <f t="shared" ca="1" si="8"/>
        <v>0.90000871317573861</v>
      </c>
      <c r="M146" s="1">
        <f t="shared" ca="1" si="9"/>
        <v>0.61735778725624346</v>
      </c>
      <c r="O146" s="2">
        <f t="shared" ca="1" si="11"/>
        <v>2.4067666294023526E-2</v>
      </c>
      <c r="P146" s="2">
        <f t="shared" ca="1" si="11"/>
        <v>5.9663594793302639E-3</v>
      </c>
    </row>
    <row r="147" spans="1:16" x14ac:dyDescent="0.25">
      <c r="A147" s="2">
        <v>-1.1366572095017144E-2</v>
      </c>
      <c r="B147" s="2">
        <v>1.5557239781078156E-2</v>
      </c>
      <c r="F147" s="1">
        <f t="shared" ca="1" si="10"/>
        <v>2.0216310663360604</v>
      </c>
      <c r="G147" s="1">
        <f t="shared" ca="1" si="10"/>
        <v>0.91653513648585461</v>
      </c>
      <c r="I147" s="1">
        <f t="array" aca="1" ref="I147:J147" ca="1">TRANSPOSE(MMULT($D$11:$E$12,TRANSPOSE(F147:G147)))</f>
        <v>2.0216310663356936</v>
      </c>
      <c r="J147" s="1">
        <f ca="1"/>
        <v>1.7848534428514773</v>
      </c>
      <c r="L147" s="1">
        <f t="shared" ca="1" si="8"/>
        <v>0.97839275992538233</v>
      </c>
      <c r="M147" s="1">
        <f t="shared" ca="1" si="9"/>
        <v>0.96285745396680011</v>
      </c>
      <c r="O147" s="2">
        <f t="shared" ca="1" si="11"/>
        <v>3.8145505597493766E-2</v>
      </c>
      <c r="P147" s="2">
        <f t="shared" ca="1" si="11"/>
        <v>3.8150003891266417E-2</v>
      </c>
    </row>
    <row r="148" spans="1:16" x14ac:dyDescent="0.25">
      <c r="A148" s="2">
        <v>-1.0937704662090916E-2</v>
      </c>
      <c r="B148" s="2">
        <v>1.4813343999618875E-2</v>
      </c>
      <c r="F148" s="1">
        <f t="shared" ca="1" si="10"/>
        <v>7.8015978069424563E-2</v>
      </c>
      <c r="G148" s="1">
        <f t="shared" ca="1" si="10"/>
        <v>-1.1503130252899212</v>
      </c>
      <c r="I148" s="1">
        <f t="array" aca="1" ref="I148:J148" ca="1">TRANSPOSE(MMULT($D$11:$E$12,TRANSPOSE(F148:G148)))</f>
        <v>7.8015978069410408E-2</v>
      </c>
      <c r="J148" s="1">
        <f ca="1"/>
        <v>-0.96677972153658687</v>
      </c>
      <c r="L148" s="1">
        <f t="shared" ca="1" si="8"/>
        <v>0.53109232846527066</v>
      </c>
      <c r="M148" s="1">
        <f t="shared" ca="1" si="9"/>
        <v>0.16682708192248702</v>
      </c>
      <c r="O148" s="2">
        <f t="shared" ca="1" si="11"/>
        <v>1.1714553711444334E-3</v>
      </c>
      <c r="P148" s="2">
        <f t="shared" ca="1" si="11"/>
        <v>-2.1432381705793591E-2</v>
      </c>
    </row>
    <row r="149" spans="1:16" x14ac:dyDescent="0.25">
      <c r="A149" s="2">
        <v>1.9916255159784329E-2</v>
      </c>
      <c r="B149" s="2">
        <v>-7.9280257472869528E-3</v>
      </c>
      <c r="F149" s="1">
        <f t="shared" ca="1" si="10"/>
        <v>0.54066433175812945</v>
      </c>
      <c r="G149" s="1">
        <f t="shared" ca="1" si="10"/>
        <v>0.12696595065304345</v>
      </c>
      <c r="I149" s="1">
        <f t="array" aca="1" ref="I149:J149" ca="1">TRANSPOSE(MMULT($D$11:$E$12,TRANSPOSE(F149:G149)))</f>
        <v>0.5406643317580313</v>
      </c>
      <c r="J149" s="1">
        <f ca="1"/>
        <v>0.37413845987932326</v>
      </c>
      <c r="L149" s="1">
        <f t="shared" ca="1" si="8"/>
        <v>0.70563051623264172</v>
      </c>
      <c r="M149" s="1">
        <f t="shared" ca="1" si="9"/>
        <v>0.6458493468724783</v>
      </c>
      <c r="O149" s="2">
        <f t="shared" ca="1" si="11"/>
        <v>9.9725722021932976E-3</v>
      </c>
      <c r="P149" s="2">
        <f t="shared" ca="1" si="11"/>
        <v>7.603139879438882E-3</v>
      </c>
    </row>
    <row r="150" spans="1:16" x14ac:dyDescent="0.25">
      <c r="A150" s="2">
        <v>2.522211356146067E-2</v>
      </c>
      <c r="B150" s="2">
        <v>2.0759491210085839E-3</v>
      </c>
      <c r="F150" s="1">
        <f t="shared" ca="1" si="10"/>
        <v>1.267554650138135</v>
      </c>
      <c r="G150" s="1">
        <f t="shared" ca="1" si="10"/>
        <v>0.35183924876269401</v>
      </c>
      <c r="I150" s="1">
        <f t="array" aca="1" ref="I150:J150" ca="1">TRANSPOSE(MMULT($D$11:$E$12,TRANSPOSE(F150:G150)))</f>
        <v>1.2675546501379049</v>
      </c>
      <c r="J150" s="1">
        <f ca="1"/>
        <v>0.92446536933913614</v>
      </c>
      <c r="L150" s="1">
        <f t="shared" ca="1" si="8"/>
        <v>0.89752148217745642</v>
      </c>
      <c r="M150" s="1">
        <f t="shared" ca="1" si="9"/>
        <v>0.82237796307179234</v>
      </c>
      <c r="O150" s="2">
        <f t="shared" ca="1" si="11"/>
        <v>2.3800453711797197E-2</v>
      </c>
      <c r="P150" s="2">
        <f t="shared" ca="1" si="11"/>
        <v>1.9519622987813231E-2</v>
      </c>
    </row>
    <row r="151" spans="1:16" x14ac:dyDescent="0.25">
      <c r="A151" s="2">
        <v>2.4152803201199738E-2</v>
      </c>
      <c r="B151" s="2">
        <v>-1.3234270907543595E-2</v>
      </c>
      <c r="F151" s="1">
        <f t="shared" ca="1" si="10"/>
        <v>-0.43992294071337051</v>
      </c>
      <c r="G151" s="1">
        <f t="shared" ca="1" si="10"/>
        <v>0.38887861779548427</v>
      </c>
      <c r="I151" s="1">
        <f t="array" aca="1" ref="I151:J151" ca="1">TRANSPOSE(MMULT($D$11:$E$12,TRANSPOSE(F151:G151)))</f>
        <v>-0.43992294071329063</v>
      </c>
      <c r="J151" s="1">
        <f ca="1"/>
        <v>0.12548507618515714</v>
      </c>
      <c r="L151" s="1">
        <f t="shared" ca="1" si="8"/>
        <v>0.32999645998939187</v>
      </c>
      <c r="M151" s="1">
        <f t="shared" ca="1" si="9"/>
        <v>0.54993023043656453</v>
      </c>
      <c r="O151" s="2">
        <f t="shared" ca="1" si="11"/>
        <v>-8.6814726663379561E-3</v>
      </c>
      <c r="P151" s="2">
        <f t="shared" ca="1" si="11"/>
        <v>2.2189331548574361E-3</v>
      </c>
    </row>
    <row r="152" spans="1:16" x14ac:dyDescent="0.25">
      <c r="A152" s="2">
        <v>1.4498489618100158E-2</v>
      </c>
      <c r="B152" s="2">
        <v>0</v>
      </c>
      <c r="F152" s="1">
        <f t="shared" ca="1" si="10"/>
        <v>0.18988130690028368</v>
      </c>
      <c r="G152" s="1">
        <f t="shared" ca="1" si="10"/>
        <v>0.32794894059478469</v>
      </c>
      <c r="I152" s="1">
        <f t="array" aca="1" ref="I152:J152" ca="1">TRANSPOSE(MMULT($D$11:$E$12,TRANSPOSE(F152:G152)))</f>
        <v>0.18988130690024921</v>
      </c>
      <c r="J152" s="1">
        <f ca="1"/>
        <v>0.37890258602963245</v>
      </c>
      <c r="L152" s="1">
        <f t="shared" ca="1" si="8"/>
        <v>0.57529892954530082</v>
      </c>
      <c r="M152" s="1">
        <f t="shared" ca="1" si="9"/>
        <v>0.6476198981142256</v>
      </c>
      <c r="O152" s="2">
        <f t="shared" ca="1" si="11"/>
        <v>3.2995075311366409E-3</v>
      </c>
      <c r="P152" s="2">
        <f t="shared" ca="1" si="11"/>
        <v>7.7062997064806819E-3</v>
      </c>
    </row>
    <row r="153" spans="1:16" x14ac:dyDescent="0.25">
      <c r="A153" s="2">
        <v>1.5254377334753651E-2</v>
      </c>
      <c r="B153" s="2">
        <v>-4.9685099328925005E-3</v>
      </c>
      <c r="F153" s="1">
        <f t="shared" ca="1" si="10"/>
        <v>-0.5010073133136862</v>
      </c>
      <c r="G153" s="1">
        <f t="shared" ca="1" si="10"/>
        <v>0.85388789836963463</v>
      </c>
      <c r="I153" s="1">
        <f t="array" aca="1" ref="I153:J153" ca="1">TRANSPOSE(MMULT($D$11:$E$12,TRANSPOSE(F153:G153)))</f>
        <v>-0.50100731331359527</v>
      </c>
      <c r="J153" s="1">
        <f ca="1"/>
        <v>0.50191612578351652</v>
      </c>
      <c r="L153" s="1">
        <f t="shared" ca="1" si="8"/>
        <v>0.30818298798846322</v>
      </c>
      <c r="M153" s="1">
        <f t="shared" ca="1" si="9"/>
        <v>0.69213673925946928</v>
      </c>
      <c r="O153" s="2">
        <f t="shared" ca="1" si="11"/>
        <v>-9.843501441584461E-3</v>
      </c>
      <c r="P153" s="2">
        <f t="shared" ca="1" si="11"/>
        <v>1.0369968779136743E-2</v>
      </c>
    </row>
    <row r="154" spans="1:16" x14ac:dyDescent="0.25">
      <c r="A154" s="2">
        <v>-5.323809132152961E-3</v>
      </c>
      <c r="B154" s="2">
        <v>-7.4391416142880213E-3</v>
      </c>
      <c r="F154" s="1">
        <f t="shared" ca="1" si="10"/>
        <v>-0.92611334519627464</v>
      </c>
      <c r="G154" s="1">
        <f t="shared" ca="1" si="10"/>
        <v>-0.61465846528459589</v>
      </c>
      <c r="I154" s="1">
        <f t="array" aca="1" ref="I154:J154" ca="1">TRANSPOSE(MMULT($D$11:$E$12,TRANSPOSE(F154:G154)))</f>
        <v>-0.92611334519610655</v>
      </c>
      <c r="J154" s="1">
        <f ca="1"/>
        <v>-0.98778986421583104</v>
      </c>
      <c r="L154" s="1">
        <f t="shared" ca="1" si="8"/>
        <v>0.17719353968105009</v>
      </c>
      <c r="M154" s="1">
        <f t="shared" ca="1" si="9"/>
        <v>0.16162778627936739</v>
      </c>
      <c r="O154" s="2">
        <f t="shared" ca="1" si="11"/>
        <v>-1.7930437928771581E-2</v>
      </c>
      <c r="P154" s="2">
        <f t="shared" ca="1" si="11"/>
        <v>-2.1887324042862887E-2</v>
      </c>
    </row>
    <row r="155" spans="1:16" x14ac:dyDescent="0.25">
      <c r="A155" s="2">
        <v>-6.929583483244341E-4</v>
      </c>
      <c r="B155" s="2">
        <v>1.0462936390598188E-2</v>
      </c>
      <c r="F155" s="1">
        <f t="shared" ca="1" si="10"/>
        <v>1.0581978831258949</v>
      </c>
      <c r="G155" s="1">
        <f t="shared" ca="1" si="10"/>
        <v>-0.75532837034171929</v>
      </c>
      <c r="I155" s="1">
        <f t="array" aca="1" ref="I155:J155" ca="1">TRANSPOSE(MMULT($D$11:$E$12,TRANSPOSE(F155:G155)))</f>
        <v>1.0581978831257028</v>
      </c>
      <c r="J155" s="1">
        <f ca="1"/>
        <v>-0.14454356551608494</v>
      </c>
      <c r="L155" s="1">
        <f t="shared" ca="1" si="8"/>
        <v>0.855017381915681</v>
      </c>
      <c r="M155" s="1">
        <f t="shared" ca="1" si="9"/>
        <v>0.44253562866020218</v>
      </c>
      <c r="O155" s="2">
        <f t="shared" ca="1" si="11"/>
        <v>1.9817788797603667E-2</v>
      </c>
      <c r="P155" s="2">
        <f t="shared" ca="1" si="11"/>
        <v>-3.6281219178603682E-3</v>
      </c>
    </row>
    <row r="156" spans="1:16" x14ac:dyDescent="0.25">
      <c r="A156" s="2">
        <v>1.2088198466747814E-2</v>
      </c>
      <c r="B156" s="2">
        <v>1.9434893157582268E-2</v>
      </c>
      <c r="F156" s="1">
        <f t="shared" ca="1" si="10"/>
        <v>-1.7639653557877122</v>
      </c>
      <c r="G156" s="1">
        <f t="shared" ca="1" si="10"/>
        <v>1.3773479818488086</v>
      </c>
      <c r="I156" s="1">
        <f t="array" aca="1" ref="I156:J156" ca="1">TRANSPOSE(MMULT($D$11:$E$12,TRANSPOSE(F156:G156)))</f>
        <v>-1.763965355787392</v>
      </c>
      <c r="J156" s="1">
        <f ca="1"/>
        <v>0.34423649452347305</v>
      </c>
      <c r="L156" s="1">
        <f t="shared" ca="1" si="8"/>
        <v>3.8868906068884705E-2</v>
      </c>
      <c r="M156" s="1">
        <f t="shared" ca="1" si="9"/>
        <v>0.63466578057704071</v>
      </c>
      <c r="O156" s="2">
        <f t="shared" ca="1" si="11"/>
        <v>-3.3869181411918373E-2</v>
      </c>
      <c r="P156" s="2">
        <f t="shared" ca="1" si="11"/>
        <v>6.9556587932969316E-3</v>
      </c>
    </row>
    <row r="157" spans="1:16" x14ac:dyDescent="0.25">
      <c r="A157" s="2">
        <v>3.4974273917511137E-2</v>
      </c>
      <c r="B157" s="2">
        <v>-2.7701389127228705E-3</v>
      </c>
      <c r="F157" s="1">
        <f t="shared" ca="1" si="10"/>
        <v>-1.4052603389840437</v>
      </c>
      <c r="G157" s="1">
        <f t="shared" ca="1" si="10"/>
        <v>8.1666181136328633E-2</v>
      </c>
      <c r="I157" s="1">
        <f t="array" aca="1" ref="I157:J157" ca="1">TRANSPOSE(MMULT($D$11:$E$12,TRANSPOSE(F157:G157)))</f>
        <v>-1.4052603389837885</v>
      </c>
      <c r="J157" s="1">
        <f ca="1"/>
        <v>-0.61285721391962389</v>
      </c>
      <c r="L157" s="1">
        <f t="shared" ca="1" si="8"/>
        <v>7.9971938708840062E-2</v>
      </c>
      <c r="M157" s="1">
        <f t="shared" ca="1" si="9"/>
        <v>0.26998537809338025</v>
      </c>
      <c r="O157" s="2">
        <f t="shared" ca="1" si="11"/>
        <v>-2.7045413996338957E-2</v>
      </c>
      <c r="P157" s="2">
        <f t="shared" ca="1" si="11"/>
        <v>-1.3768733951714482E-2</v>
      </c>
    </row>
    <row r="158" spans="1:16" x14ac:dyDescent="0.25">
      <c r="A158" s="2">
        <v>6.0020057522184094E-3</v>
      </c>
      <c r="B158" s="2">
        <v>6.5423341730395787E-3</v>
      </c>
      <c r="F158" s="1">
        <f t="shared" ca="1" si="10"/>
        <v>-1.2760109442337708</v>
      </c>
      <c r="G158" s="1">
        <f t="shared" ca="1" si="10"/>
        <v>-1.3292293436688483</v>
      </c>
      <c r="I158" s="1">
        <f t="array" aca="1" ref="I158:J158" ca="1">TRANSPOSE(MMULT($D$11:$E$12,TRANSPOSE(F158:G158)))</f>
        <v>-1.2760109442335392</v>
      </c>
      <c r="J158" s="1">
        <f ca="1"/>
        <v>-1.7823035269387897</v>
      </c>
      <c r="L158" s="1">
        <f t="shared" ca="1" si="8"/>
        <v>0.10097582518234491</v>
      </c>
      <c r="M158" s="1">
        <f t="shared" ca="1" si="9"/>
        <v>3.734987393653242E-2</v>
      </c>
      <c r="O158" s="2">
        <f t="shared" ca="1" si="11"/>
        <v>-2.4586658843597408E-2</v>
      </c>
      <c r="P158" s="2">
        <f t="shared" ca="1" si="11"/>
        <v>-3.909129586118467E-2</v>
      </c>
    </row>
    <row r="159" spans="1:16" x14ac:dyDescent="0.25">
      <c r="A159" s="2">
        <v>9.9463107992247123E-3</v>
      </c>
      <c r="B159" s="2">
        <v>0</v>
      </c>
      <c r="F159" s="1">
        <f t="shared" ca="1" si="10"/>
        <v>1.2469568622423106</v>
      </c>
      <c r="G159" s="1">
        <f t="shared" ca="1" si="10"/>
        <v>1.3234166157274445</v>
      </c>
      <c r="I159" s="1">
        <f t="array" aca="1" ref="I159:J159" ca="1">TRANSPOSE(MMULT($D$11:$E$12,TRANSPOSE(F159:G159)))</f>
        <v>1.2469568622420844</v>
      </c>
      <c r="J159" s="1">
        <f ca="1"/>
        <v>1.7630804932753481</v>
      </c>
      <c r="L159" s="1">
        <f t="shared" ca="1" si="8"/>
        <v>0.8937933423635066</v>
      </c>
      <c r="M159" s="1">
        <f t="shared" ca="1" si="9"/>
        <v>0.9610565426472738</v>
      </c>
      <c r="O159" s="2">
        <f t="shared" ca="1" si="11"/>
        <v>2.3408614993930967E-2</v>
      </c>
      <c r="P159" s="2">
        <f t="shared" ca="1" si="11"/>
        <v>3.7678544143644577E-2</v>
      </c>
    </row>
    <row r="160" spans="1:16" x14ac:dyDescent="0.25">
      <c r="A160" s="2">
        <v>-1.053428047733078E-3</v>
      </c>
      <c r="B160" s="2">
        <v>8.5031239344312906E-3</v>
      </c>
      <c r="F160" s="1">
        <f t="shared" ca="1" si="10"/>
        <v>0.49791427402850813</v>
      </c>
      <c r="G160" s="1">
        <f t="shared" ca="1" si="10"/>
        <v>-1.508133594058342</v>
      </c>
      <c r="I160" s="1">
        <f t="array" aca="1" ref="I160:J160" ca="1">TRANSPOSE(MMULT($D$11:$E$12,TRANSPOSE(F160:G160)))</f>
        <v>0.49791427402841776</v>
      </c>
      <c r="J160" s="1">
        <f ca="1"/>
        <v>-1.0748860787079515</v>
      </c>
      <c r="L160" s="1">
        <f t="shared" ca="1" si="8"/>
        <v>0.69072776698467808</v>
      </c>
      <c r="M160" s="1">
        <f t="shared" ca="1" si="9"/>
        <v>0.14121286772352235</v>
      </c>
      <c r="O160" s="2">
        <f t="shared" ca="1" si="11"/>
        <v>9.1593233283722882E-3</v>
      </c>
      <c r="P160" s="2">
        <f t="shared" ca="1" si="11"/>
        <v>-2.3773258659103014E-2</v>
      </c>
    </row>
    <row r="161" spans="1:16" x14ac:dyDescent="0.25">
      <c r="A161" s="2">
        <v>1.8013201352891167E-2</v>
      </c>
      <c r="B161" s="2">
        <v>-2.3890270302284662E-3</v>
      </c>
      <c r="F161" s="1">
        <f t="shared" ca="1" si="10"/>
        <v>-0.24457133252720586</v>
      </c>
      <c r="G161" s="1">
        <f t="shared" ca="1" si="10"/>
        <v>-0.6603203070596233</v>
      </c>
      <c r="I161" s="1">
        <f t="array" aca="1" ref="I161:J161" ca="1">TRANSPOSE(MMULT($D$11:$E$12,TRANSPOSE(F161:G161)))</f>
        <v>-0.24457133252716148</v>
      </c>
      <c r="J161" s="1">
        <f ca="1"/>
        <v>-0.69584638393925724</v>
      </c>
      <c r="L161" s="1">
        <f t="shared" ca="1" si="8"/>
        <v>0.40339418167898927</v>
      </c>
      <c r="M161" s="1">
        <f t="shared" ca="1" si="9"/>
        <v>0.24326251877618021</v>
      </c>
      <c r="O161" s="2">
        <f t="shared" ca="1" si="11"/>
        <v>-4.965232647170908E-3</v>
      </c>
      <c r="P161" s="2">
        <f t="shared" ca="1" si="11"/>
        <v>-1.5565736834396857E-2</v>
      </c>
    </row>
    <row r="162" spans="1:16" x14ac:dyDescent="0.25">
      <c r="A162" s="2">
        <v>1.8387635890626447E-2</v>
      </c>
      <c r="B162" s="2">
        <v>-5.0278571263720657E-3</v>
      </c>
      <c r="F162" s="1">
        <f t="shared" ca="1" si="10"/>
        <v>0.5825045508704807</v>
      </c>
      <c r="G162" s="1">
        <f t="shared" ca="1" si="10"/>
        <v>-1.6917223289576173</v>
      </c>
      <c r="I162" s="1">
        <f t="array" aca="1" ref="I162:J162" ca="1">TRANSPOSE(MMULT($D$11:$E$12,TRANSPOSE(F162:G162)))</f>
        <v>0.582504550870375</v>
      </c>
      <c r="J162" s="1">
        <f ca="1"/>
        <v>-1.1940602053445497</v>
      </c>
      <c r="L162" s="1">
        <f t="shared" ca="1" si="8"/>
        <v>0.71988656147254293</v>
      </c>
      <c r="M162" s="1">
        <f t="shared" ca="1" si="9"/>
        <v>0.11622720914423351</v>
      </c>
      <c r="O162" s="2">
        <f t="shared" ca="1" si="11"/>
        <v>1.0768512906852672E-2</v>
      </c>
      <c r="P162" s="2">
        <f t="shared" ca="1" si="11"/>
        <v>-2.6353791143720662E-2</v>
      </c>
    </row>
    <row r="163" spans="1:16" x14ac:dyDescent="0.25">
      <c r="A163" s="2">
        <v>1.3070761687118718E-2</v>
      </c>
      <c r="B163" s="2">
        <v>1.4244158297669113E-2</v>
      </c>
      <c r="F163" s="1">
        <f t="shared" ca="1" si="10"/>
        <v>0.9300773929835221</v>
      </c>
      <c r="G163" s="1">
        <f t="shared" ca="1" si="10"/>
        <v>0.67861537280521045</v>
      </c>
      <c r="I163" s="1">
        <f t="array" aca="1" ref="I163:J163" ca="1">TRANSPOSE(MMULT($D$11:$E$12,TRANSPOSE(F163:G163)))</f>
        <v>0.93007739298335323</v>
      </c>
      <c r="J163" s="1">
        <f ca="1"/>
        <v>1.0455843146141395</v>
      </c>
      <c r="L163" s="1">
        <f t="shared" ca="1" si="8"/>
        <v>0.82383449257154939</v>
      </c>
      <c r="M163" s="1">
        <f t="shared" ca="1" si="9"/>
        <v>0.85212350287363514</v>
      </c>
      <c r="O163" s="2">
        <f t="shared" ca="1" si="11"/>
        <v>1.738050918079783E-2</v>
      </c>
      <c r="P163" s="2">
        <f t="shared" ca="1" si="11"/>
        <v>2.214226752992798E-2</v>
      </c>
    </row>
    <row r="164" spans="1:16" x14ac:dyDescent="0.25">
      <c r="A164" s="2">
        <v>1.5886417499994206E-2</v>
      </c>
      <c r="B164" s="2">
        <v>1.5287163520381321E-2</v>
      </c>
      <c r="F164" s="1">
        <f t="shared" ca="1" si="10"/>
        <v>-1.323767555802658</v>
      </c>
      <c r="G164" s="1">
        <f t="shared" ca="1" si="10"/>
        <v>-0.29885172034854296</v>
      </c>
      <c r="I164" s="1">
        <f t="array" aca="1" ref="I164:J164" ca="1">TRANSPOSE(MMULT($D$11:$E$12,TRANSPOSE(F164:G164)))</f>
        <v>-1.3237675558024178</v>
      </c>
      <c r="J164" s="1">
        <f ca="1"/>
        <v>-0.9055511706875975</v>
      </c>
      <c r="L164" s="1">
        <f t="shared" ca="1" si="8"/>
        <v>9.2790127191672539E-2</v>
      </c>
      <c r="M164" s="1">
        <f t="shared" ca="1" si="9"/>
        <v>0.18258673192478711</v>
      </c>
      <c r="O164" s="2">
        <f t="shared" ca="1" si="11"/>
        <v>-2.5495149092231488E-2</v>
      </c>
      <c r="P164" s="2">
        <f t="shared" ca="1" si="11"/>
        <v>-2.0106571574760056E-2</v>
      </c>
    </row>
    <row r="165" spans="1:16" x14ac:dyDescent="0.25">
      <c r="A165" s="2">
        <v>-1.6753114935452181E-2</v>
      </c>
      <c r="B165" s="2">
        <v>-2.3367138360228961E-3</v>
      </c>
      <c r="F165" s="1">
        <f t="shared" ca="1" si="10"/>
        <v>-1.2859835861806344</v>
      </c>
      <c r="G165" s="1">
        <f t="shared" ca="1" si="10"/>
        <v>-0.67015965392434085</v>
      </c>
      <c r="I165" s="1">
        <f t="array" aca="1" ref="I165:J165" ca="1">TRANSPOSE(MMULT($D$11:$E$12,TRANSPOSE(F165:G165)))</f>
        <v>-1.285983586180401</v>
      </c>
      <c r="J165" s="1">
        <f ca="1"/>
        <v>-1.211481350888036</v>
      </c>
      <c r="L165" s="1">
        <f t="shared" ca="1" si="8"/>
        <v>9.922439506412746E-2</v>
      </c>
      <c r="M165" s="1">
        <f t="shared" ca="1" si="9"/>
        <v>0.11285548890099718</v>
      </c>
      <c r="O165" s="2">
        <f t="shared" ca="1" si="11"/>
        <v>-2.4776371799860562E-2</v>
      </c>
      <c r="P165" s="2">
        <f t="shared" ca="1" si="11"/>
        <v>-2.6731019265822224E-2</v>
      </c>
    </row>
    <row r="166" spans="1:16" x14ac:dyDescent="0.25">
      <c r="A166" s="2">
        <v>5.7608197142857932E-3</v>
      </c>
      <c r="B166" s="2">
        <v>-2.2287288477559988E-3</v>
      </c>
      <c r="F166" s="1">
        <f t="shared" ca="1" si="10"/>
        <v>0.55015854490251193</v>
      </c>
      <c r="G166" s="1">
        <f t="shared" ca="1" si="10"/>
        <v>-0.76238895289895137</v>
      </c>
      <c r="I166" s="1">
        <f t="array" aca="1" ref="I166:J166" ca="1">TRANSPOSE(MMULT($D$11:$E$12,TRANSPOSE(F166:G166)))</f>
        <v>0.55015854490241201</v>
      </c>
      <c r="J166" s="1">
        <f ca="1"/>
        <v>-0.39806388978622664</v>
      </c>
      <c r="L166" s="1">
        <f t="shared" ca="1" si="8"/>
        <v>0.70889468284091073</v>
      </c>
      <c r="M166" s="1">
        <f t="shared" ca="1" si="9"/>
        <v>0.34529154568911702</v>
      </c>
      <c r="O166" s="2">
        <f t="shared" ca="1" si="11"/>
        <v>1.0153183844786131E-2</v>
      </c>
      <c r="P166" s="2">
        <f t="shared" ca="1" si="11"/>
        <v>-9.1177147577964149E-3</v>
      </c>
    </row>
    <row r="167" spans="1:16" x14ac:dyDescent="0.25">
      <c r="A167" s="2">
        <v>1.8565752022373923E-2</v>
      </c>
      <c r="B167" s="2">
        <v>-1.0836401927727767E-2</v>
      </c>
      <c r="F167" s="1">
        <f t="shared" ca="1" si="10"/>
        <v>2.5757962780997468</v>
      </c>
      <c r="G167" s="1">
        <f t="shared" ca="1" si="10"/>
        <v>0.57574173975872667</v>
      </c>
      <c r="I167" s="1">
        <f t="array" aca="1" ref="I167:J167" ca="1">TRANSPOSE(MMULT($D$11:$E$12,TRANSPOSE(F167:G167)))</f>
        <v>2.5757962780992791</v>
      </c>
      <c r="J167" s="1">
        <f ca="1"/>
        <v>1.7569914020582318</v>
      </c>
      <c r="L167" s="1">
        <f t="shared" ca="1" si="8"/>
        <v>0.99499952244017298</v>
      </c>
      <c r="M167" s="1">
        <f t="shared" ca="1" si="9"/>
        <v>0.96054036263630549</v>
      </c>
      <c r="O167" s="2">
        <f t="shared" ca="1" si="11"/>
        <v>4.8687578715334842E-2</v>
      </c>
      <c r="P167" s="2">
        <f t="shared" ca="1" si="11"/>
        <v>3.7546694235186841E-2</v>
      </c>
    </row>
    <row r="168" spans="1:16" x14ac:dyDescent="0.25">
      <c r="A168" s="2">
        <v>-1.1791828687235158E-2</v>
      </c>
      <c r="B168" s="2">
        <v>3.3585254071342241E-3</v>
      </c>
      <c r="F168" s="1">
        <f t="shared" ca="1" si="10"/>
        <v>-0.42043232690712751</v>
      </c>
      <c r="G168" s="1">
        <f t="shared" ca="1" si="10"/>
        <v>-0.18203902162605773</v>
      </c>
      <c r="I168" s="1">
        <f t="array" aca="1" ref="I168:J168" ca="1">TRANSPOSE(MMULT($D$11:$E$12,TRANSPOSE(F168:G168)))</f>
        <v>-0.42043232690705118</v>
      </c>
      <c r="J168" s="1">
        <f ca="1"/>
        <v>-0.3637048340865946</v>
      </c>
      <c r="L168" s="1">
        <f t="shared" ca="1" si="8"/>
        <v>0.33708482830748165</v>
      </c>
      <c r="M168" s="1">
        <f t="shared" ca="1" si="9"/>
        <v>0.35803921658084475</v>
      </c>
      <c r="O168" s="2">
        <f t="shared" ca="1" si="11"/>
        <v>-8.3106960973738323E-3</v>
      </c>
      <c r="P168" s="2">
        <f t="shared" ca="1" si="11"/>
        <v>-8.3737222329419592E-3</v>
      </c>
    </row>
    <row r="169" spans="1:16" x14ac:dyDescent="0.25">
      <c r="A169" s="2">
        <v>2.8082321203967975E-3</v>
      </c>
      <c r="B169" s="2">
        <v>2.0216423599279686E-2</v>
      </c>
      <c r="F169" s="1">
        <f t="shared" ca="1" si="10"/>
        <v>-0.32473120385515103</v>
      </c>
      <c r="G169" s="1">
        <f t="shared" ca="1" si="10"/>
        <v>0.82859030442201465</v>
      </c>
      <c r="I169" s="1">
        <f t="array" aca="1" ref="I169:J169" ca="1">TRANSPOSE(MMULT($D$11:$E$12,TRANSPOSE(F169:G169)))</f>
        <v>-0.32473120385509208</v>
      </c>
      <c r="J169" s="1">
        <f ca="1"/>
        <v>0.5656443739209629</v>
      </c>
      <c r="L169" s="1">
        <f t="shared" ca="1" si="8"/>
        <v>0.37269225808057033</v>
      </c>
      <c r="M169" s="1">
        <f t="shared" ca="1" si="9"/>
        <v>0.71418222181027902</v>
      </c>
      <c r="O169" s="2">
        <f t="shared" ca="1" si="11"/>
        <v>-6.4901411161931181E-3</v>
      </c>
      <c r="P169" s="2">
        <f t="shared" ca="1" si="11"/>
        <v>1.1749906011720167E-2</v>
      </c>
    </row>
    <row r="170" spans="1:16" x14ac:dyDescent="0.25">
      <c r="A170" s="2">
        <v>-3.6017255165240528E-3</v>
      </c>
      <c r="B170" s="2">
        <v>-2.242823906672073E-3</v>
      </c>
      <c r="F170" s="1">
        <f t="shared" ca="1" si="10"/>
        <v>-1.1507328632438911</v>
      </c>
      <c r="G170" s="1">
        <f t="shared" ca="1" si="10"/>
        <v>-0.38593991682108014</v>
      </c>
      <c r="I170" s="1">
        <f t="array" aca="1" ref="I170:J170" ca="1">TRANSPOSE(MMULT($D$11:$E$12,TRANSPOSE(F170:G170)))</f>
        <v>-1.1507328632436822</v>
      </c>
      <c r="J170" s="1">
        <f ca="1"/>
        <v>-0.89737333741978031</v>
      </c>
      <c r="L170" s="1">
        <f t="shared" ca="1" si="8"/>
        <v>0.1249210761093576</v>
      </c>
      <c r="M170" s="1">
        <f t="shared" ca="1" si="9"/>
        <v>0.1847598674797041</v>
      </c>
      <c r="O170" s="2">
        <f t="shared" ca="1" si="11"/>
        <v>-2.2203451341894262E-2</v>
      </c>
      <c r="P170" s="2">
        <f t="shared" ca="1" si="11"/>
        <v>-1.9929493168591068E-2</v>
      </c>
    </row>
    <row r="171" spans="1:16" x14ac:dyDescent="0.25">
      <c r="A171" s="2">
        <v>-1.4263503471590694E-2</v>
      </c>
      <c r="B171" s="2">
        <v>2.840061699713898E-3</v>
      </c>
      <c r="F171" s="1">
        <f t="shared" ca="1" si="10"/>
        <v>-0.60863022471586992</v>
      </c>
      <c r="G171" s="1">
        <f t="shared" ca="1" si="10"/>
        <v>-1.1823947108521597</v>
      </c>
      <c r="I171" s="1">
        <f t="array" aca="1" ref="I171:J171" ca="1">TRANSPOSE(MMULT($D$11:$E$12,TRANSPOSE(F171:G171)))</f>
        <v>-0.60863022471575945</v>
      </c>
      <c r="J171" s="1">
        <f ca="1"/>
        <v>-1.3291149617937976</v>
      </c>
      <c r="L171" s="1">
        <f t="shared" ca="1" si="8"/>
        <v>0.27138478291968671</v>
      </c>
      <c r="M171" s="1">
        <f t="shared" ca="1" si="9"/>
        <v>9.1905022418297191E-2</v>
      </c>
      <c r="O171" s="2">
        <f t="shared" ca="1" si="11"/>
        <v>-1.1890848653340814E-2</v>
      </c>
      <c r="P171" s="2">
        <f t="shared" ca="1" si="11"/>
        <v>-2.9278194250798965E-2</v>
      </c>
    </row>
    <row r="172" spans="1:16" x14ac:dyDescent="0.25">
      <c r="A172" s="2">
        <v>-7.7434675706155804E-3</v>
      </c>
      <c r="B172" s="2">
        <v>-3.7323181861261435E-4</v>
      </c>
      <c r="F172" s="1">
        <f t="shared" ca="1" si="10"/>
        <v>0.82637595296002264</v>
      </c>
      <c r="G172" s="1">
        <f t="shared" ca="1" si="10"/>
        <v>1.8605497455572086</v>
      </c>
      <c r="I172" s="1">
        <f t="array" aca="1" ref="I172:J172" ca="1">TRANSPOSE(MMULT($D$11:$E$12,TRANSPOSE(F172:G172)))</f>
        <v>0.82637595295987265</v>
      </c>
      <c r="J172" s="1">
        <f ca="1"/>
        <v>2.0274786527891471</v>
      </c>
      <c r="L172" s="1">
        <f t="shared" ca="1" si="8"/>
        <v>0.79570456994838201</v>
      </c>
      <c r="M172" s="1">
        <f t="shared" ca="1" si="9"/>
        <v>0.97869325728737522</v>
      </c>
      <c r="O172" s="2">
        <f t="shared" ca="1" si="11"/>
        <v>1.5407761451517163E-2</v>
      </c>
      <c r="P172" s="2">
        <f t="shared" ca="1" si="11"/>
        <v>4.3403679781340535E-2</v>
      </c>
    </row>
    <row r="173" spans="1:16" x14ac:dyDescent="0.25">
      <c r="A173" s="2">
        <v>-4.5657115487217027E-3</v>
      </c>
      <c r="B173" s="2">
        <v>-2.1674958969760787E-3</v>
      </c>
      <c r="F173" s="1">
        <f t="shared" ca="1" si="10"/>
        <v>-0.31560123471731244</v>
      </c>
      <c r="G173" s="1">
        <f t="shared" ca="1" si="10"/>
        <v>-2.121769289685095</v>
      </c>
      <c r="I173" s="1">
        <f t="array" aca="1" ref="I173:J173" ca="1">TRANSPOSE(MMULT($D$11:$E$12,TRANSPOSE(F173:G173)))</f>
        <v>-0.31560123471725515</v>
      </c>
      <c r="J173" s="1">
        <f ca="1"/>
        <v>-2.0069611881520992</v>
      </c>
      <c r="L173" s="1">
        <f t="shared" ca="1" si="8"/>
        <v>0.37615260019074326</v>
      </c>
      <c r="M173" s="1">
        <f t="shared" ca="1" si="9"/>
        <v>2.237689787792466E-2</v>
      </c>
      <c r="O173" s="2">
        <f t="shared" ca="1" si="11"/>
        <v>-6.3164586110997243E-3</v>
      </c>
      <c r="P173" s="2">
        <f t="shared" ca="1" si="11"/>
        <v>-4.3955912108358711E-2</v>
      </c>
    </row>
    <row r="174" spans="1:16" x14ac:dyDescent="0.25">
      <c r="A174" s="2">
        <v>-4.3354211847903617E-3</v>
      </c>
      <c r="B174" s="2">
        <v>2.9924441010321294E-4</v>
      </c>
      <c r="F174" s="1">
        <f t="shared" ca="1" si="10"/>
        <v>0.29635284403161077</v>
      </c>
      <c r="G174" s="1">
        <f t="shared" ca="1" si="10"/>
        <v>-1.8109515725914433</v>
      </c>
      <c r="I174" s="1">
        <f t="array" aca="1" ref="I174:J174" ca="1">TRANSPOSE(MMULT($D$11:$E$12,TRANSPOSE(F174:G174)))</f>
        <v>0.29635284403155698</v>
      </c>
      <c r="J174" s="1">
        <f ca="1"/>
        <v>-1.4375243156422293</v>
      </c>
      <c r="L174" s="1">
        <f t="shared" ca="1" si="8"/>
        <v>0.6165196831815476</v>
      </c>
      <c r="M174" s="1">
        <f t="shared" ca="1" si="9"/>
        <v>7.5284534388438656E-2</v>
      </c>
      <c r="O174" s="2">
        <f t="shared" ca="1" si="11"/>
        <v>5.3249517589241176E-3</v>
      </c>
      <c r="P174" s="2">
        <f t="shared" ca="1" si="11"/>
        <v>-3.1625632131299208E-2</v>
      </c>
    </row>
    <row r="175" spans="1:16" x14ac:dyDescent="0.25">
      <c r="A175" s="2">
        <v>-6.9272914325659903E-3</v>
      </c>
      <c r="B175" s="2">
        <v>7.6377487959915025E-3</v>
      </c>
      <c r="F175" s="1">
        <f t="shared" ca="1" si="10"/>
        <v>-7.9422091876315284E-2</v>
      </c>
      <c r="G175" s="1">
        <f t="shared" ca="1" si="10"/>
        <v>-1.6440049183419931</v>
      </c>
      <c r="I175" s="1">
        <f t="array" aca="1" ref="I175:J175" ca="1">TRANSPOSE(MMULT($D$11:$E$12,TRANSPOSE(F175:G175)))</f>
        <v>-7.9422091876300865E-2</v>
      </c>
      <c r="J175" s="1">
        <f ca="1"/>
        <v>-1.4746579180444994</v>
      </c>
      <c r="L175" s="1">
        <f t="shared" ca="1" si="8"/>
        <v>0.46834844868333719</v>
      </c>
      <c r="M175" s="1">
        <f t="shared" ca="1" si="9"/>
        <v>7.0152267580202543E-2</v>
      </c>
      <c r="O175" s="2">
        <f t="shared" ca="1" si="11"/>
        <v>-1.8235425277989812E-3</v>
      </c>
      <c r="P175" s="2">
        <f t="shared" ca="1" si="11"/>
        <v>-3.2429703199192465E-2</v>
      </c>
    </row>
    <row r="176" spans="1:16" x14ac:dyDescent="0.25">
      <c r="A176" s="2">
        <v>1.8793271742396082E-2</v>
      </c>
      <c r="B176" s="2">
        <v>-1.3742132935711943E-3</v>
      </c>
      <c r="F176" s="1">
        <f t="shared" ca="1" si="10"/>
        <v>-0.95263417368420311</v>
      </c>
      <c r="G176" s="1">
        <f t="shared" ca="1" si="10"/>
        <v>-0.83494410716718515</v>
      </c>
      <c r="I176" s="1">
        <f t="array" aca="1" ref="I176:J176" ca="1">TRANSPOSE(MMULT($D$11:$E$12,TRANSPOSE(F176:G176)))</f>
        <v>-0.95263417368403014</v>
      </c>
      <c r="J176" s="1">
        <f ca="1"/>
        <v>-1.1931151796377959</v>
      </c>
      <c r="L176" s="1">
        <f t="shared" ca="1" si="8"/>
        <v>0.17038772807162059</v>
      </c>
      <c r="M176" s="1">
        <f t="shared" ca="1" si="9"/>
        <v>0.11641213367920838</v>
      </c>
      <c r="O176" s="2">
        <f t="shared" ca="1" si="11"/>
        <v>-1.8434952660354352E-2</v>
      </c>
      <c r="P176" s="2">
        <f t="shared" ca="1" si="11"/>
        <v>-2.6333328064997934E-2</v>
      </c>
    </row>
    <row r="177" spans="1:16" x14ac:dyDescent="0.25">
      <c r="A177" s="2">
        <v>-5.8275330662369987E-3</v>
      </c>
      <c r="B177" s="2">
        <v>-1.959154424610815E-2</v>
      </c>
      <c r="F177" s="1">
        <f t="shared" ca="1" si="10"/>
        <v>0.52970484956215791</v>
      </c>
      <c r="G177" s="1">
        <f t="shared" ca="1" si="10"/>
        <v>1.0386340202102207</v>
      </c>
      <c r="I177" s="1">
        <f t="array" aca="1" ref="I177:J177" ca="1">TRANSPOSE(MMULT($D$11:$E$12,TRANSPOSE(F177:G177)))</f>
        <v>0.52970484956206176</v>
      </c>
      <c r="J177" s="1">
        <f ca="1"/>
        <v>1.165117284678391</v>
      </c>
      <c r="L177" s="1">
        <f t="shared" ca="1" si="8"/>
        <v>0.70184170747354369</v>
      </c>
      <c r="M177" s="1">
        <f t="shared" ca="1" si="9"/>
        <v>0.87801423938840228</v>
      </c>
      <c r="O177" s="2">
        <f t="shared" ca="1" si="11"/>
        <v>9.7640862485624119E-3</v>
      </c>
      <c r="P177" s="2">
        <f t="shared" ca="1" si="11"/>
        <v>2.4730570217257317E-2</v>
      </c>
    </row>
    <row r="178" spans="1:16" x14ac:dyDescent="0.25">
      <c r="A178" s="2">
        <v>-1.5573546688585214E-2</v>
      </c>
      <c r="B178" s="2">
        <v>4.1605264448267044E-3</v>
      </c>
      <c r="F178" s="1">
        <f t="shared" ca="1" si="10"/>
        <v>1.5210134075355173</v>
      </c>
      <c r="G178" s="1">
        <f t="shared" ca="1" si="10"/>
        <v>-2.3426970194478249</v>
      </c>
      <c r="I178" s="1">
        <f t="array" aca="1" ref="I178:J178" ca="1">TRANSPOSE(MMULT($D$11:$E$12,TRANSPOSE(F178:G178)))</f>
        <v>1.5210134075352413</v>
      </c>
      <c r="J178" s="1">
        <f ca="1"/>
        <v>-1.3057278965850188</v>
      </c>
      <c r="L178" s="1">
        <f t="shared" ca="1" si="8"/>
        <v>0.9358717636162005</v>
      </c>
      <c r="M178" s="1">
        <f t="shared" ca="1" si="9"/>
        <v>9.5822553854401263E-2</v>
      </c>
      <c r="O178" s="2">
        <f t="shared" ca="1" si="11"/>
        <v>2.8622085774077887E-2</v>
      </c>
      <c r="P178" s="2">
        <f t="shared" ca="1" si="11"/>
        <v>-2.8771783310820712E-2</v>
      </c>
    </row>
    <row r="179" spans="1:16" x14ac:dyDescent="0.25">
      <c r="A179" s="2">
        <v>2.6296512107042787E-4</v>
      </c>
      <c r="B179" s="2">
        <v>5.3829344562297491E-3</v>
      </c>
      <c r="F179" s="1">
        <f t="shared" ca="1" si="10"/>
        <v>-0.49972716683985391</v>
      </c>
      <c r="G179" s="1">
        <f t="shared" ca="1" si="10"/>
        <v>0.74393031293594603</v>
      </c>
      <c r="I179" s="1">
        <f t="array" aca="1" ref="I179:J179" ca="1">TRANSPOSE(MMULT($D$11:$E$12,TRANSPOSE(F179:G179)))</f>
        <v>-0.4997271668397632</v>
      </c>
      <c r="J179" s="1">
        <f ca="1"/>
        <v>0.40649474314324946</v>
      </c>
      <c r="L179" s="1">
        <f t="shared" ca="1" si="8"/>
        <v>0.30863360037255771</v>
      </c>
      <c r="M179" s="1">
        <f t="shared" ca="1" si="9"/>
        <v>0.65781044063400262</v>
      </c>
      <c r="O179" s="2">
        <f t="shared" ca="1" si="11"/>
        <v>-9.8191487802441087E-3</v>
      </c>
      <c r="P179" s="2">
        <f t="shared" ca="1" si="11"/>
        <v>8.3037654464183739E-3</v>
      </c>
    </row>
    <row r="180" spans="1:16" x14ac:dyDescent="0.25">
      <c r="A180" s="2">
        <v>-5.9712915831532636E-3</v>
      </c>
      <c r="B180" s="2">
        <v>-9.0140851173992488E-4</v>
      </c>
      <c r="F180" s="1">
        <f t="shared" ca="1" si="10"/>
        <v>-0.71766940234466992</v>
      </c>
      <c r="G180" s="1">
        <f t="shared" ca="1" si="10"/>
        <v>-1.2265565911653393</v>
      </c>
      <c r="I180" s="1">
        <f t="array" aca="1" ref="I180:J180" ca="1">TRANSPOSE(MMULT($D$11:$E$12,TRANSPOSE(F180:G180)))</f>
        <v>-0.71766940234453969</v>
      </c>
      <c r="J180" s="1">
        <f ca="1"/>
        <v>-1.4207778054362832</v>
      </c>
      <c r="L180" s="1">
        <f t="shared" ca="1" si="8"/>
        <v>0.23648057686608279</v>
      </c>
      <c r="M180" s="1">
        <f t="shared" ca="1" si="9"/>
        <v>7.7690682468408198E-2</v>
      </c>
      <c r="O180" s="2">
        <f t="shared" ca="1" si="11"/>
        <v>-1.3965137978745556E-2</v>
      </c>
      <c r="P180" s="2">
        <f t="shared" ca="1" si="11"/>
        <v>-3.1263012200194527E-2</v>
      </c>
    </row>
    <row r="181" spans="1:16" x14ac:dyDescent="0.25">
      <c r="A181" s="2">
        <v>5.91494773541687E-3</v>
      </c>
      <c r="B181" s="2">
        <v>9.4245059742251204E-3</v>
      </c>
      <c r="F181" s="1">
        <f t="shared" ca="1" si="10"/>
        <v>-0.22688011685493414</v>
      </c>
      <c r="G181" s="1">
        <f t="shared" ca="1" si="10"/>
        <v>0.98689693344077989</v>
      </c>
      <c r="I181" s="1">
        <f t="array" aca="1" ref="I181:J181" ca="1">TRANSPOSE(MMULT($D$11:$E$12,TRANSPOSE(F181:G181)))</f>
        <v>-0.22688011685489295</v>
      </c>
      <c r="J181" s="1">
        <f ca="1"/>
        <v>0.75156200305290155</v>
      </c>
      <c r="L181" s="1">
        <f t="shared" ca="1" si="8"/>
        <v>0.4102584816873116</v>
      </c>
      <c r="M181" s="1">
        <f t="shared" ca="1" si="9"/>
        <v>0.77384274960374322</v>
      </c>
      <c r="O181" s="2">
        <f t="shared" ca="1" si="11"/>
        <v>-4.6286866403094816E-3</v>
      </c>
      <c r="P181" s="2">
        <f t="shared" ca="1" si="11"/>
        <v>1.5775666426151684E-2</v>
      </c>
    </row>
    <row r="182" spans="1:16" x14ac:dyDescent="0.25">
      <c r="A182" s="2">
        <v>5.3198589451651053E-3</v>
      </c>
      <c r="B182" s="2">
        <v>9.5208824849688633E-3</v>
      </c>
      <c r="F182" s="1">
        <f t="shared" ca="1" si="10"/>
        <v>-0.43436163296446018</v>
      </c>
      <c r="G182" s="1">
        <f t="shared" ca="1" si="10"/>
        <v>-0.54641181715461384</v>
      </c>
      <c r="I182" s="1">
        <f t="array" aca="1" ref="I182:J182" ca="1">TRANSPOSE(MMULT($D$11:$E$12,TRANSPOSE(F182:G182)))</f>
        <v>-0.43436163296438135</v>
      </c>
      <c r="J182" s="1">
        <f ca="1"/>
        <v>-0.68875542903461751</v>
      </c>
      <c r="L182" s="1">
        <f t="shared" ca="1" si="8"/>
        <v>0.33201292709413543</v>
      </c>
      <c r="M182" s="1">
        <f t="shared" ca="1" si="9"/>
        <v>0.24548859416143359</v>
      </c>
      <c r="O182" s="2">
        <f t="shared" ca="1" si="11"/>
        <v>-8.5756780194072343E-3</v>
      </c>
      <c r="P182" s="2">
        <f t="shared" ca="1" si="11"/>
        <v>-1.5412193108130001E-2</v>
      </c>
    </row>
    <row r="183" spans="1:16" x14ac:dyDescent="0.25">
      <c r="A183" s="2">
        <v>1.5653920026439352E-2</v>
      </c>
      <c r="B183" s="2">
        <v>-3.6877236100346064E-4</v>
      </c>
      <c r="F183" s="1">
        <f t="shared" ca="1" si="10"/>
        <v>-0.58440050377017549</v>
      </c>
      <c r="G183" s="1">
        <f t="shared" ca="1" si="10"/>
        <v>-0.95833722645044273</v>
      </c>
      <c r="I183" s="1">
        <f t="array" aca="1" ref="I183:J183" ca="1">TRANSPOSE(MMULT($D$11:$E$12,TRANSPOSE(F183:G183)))</f>
        <v>-0.58440050377006947</v>
      </c>
      <c r="J183" s="1">
        <f ca="1"/>
        <v>-1.1216105444853184</v>
      </c>
      <c r="L183" s="1">
        <f t="shared" ca="1" si="8"/>
        <v>0.27947544395080703</v>
      </c>
      <c r="M183" s="1">
        <f t="shared" ca="1" si="9"/>
        <v>0.13101403316083249</v>
      </c>
      <c r="O183" s="2">
        <f t="shared" ca="1" si="11"/>
        <v>-1.1429918439007342E-2</v>
      </c>
      <c r="P183" s="2">
        <f t="shared" ca="1" si="11"/>
        <v>-2.4785005127634485E-2</v>
      </c>
    </row>
    <row r="184" spans="1:16" x14ac:dyDescent="0.25">
      <c r="A184" s="2">
        <v>-2.0814146314179775E-2</v>
      </c>
      <c r="B184" s="2">
        <v>-8.8171578515321685E-3</v>
      </c>
      <c r="F184" s="1">
        <f t="shared" ca="1" si="10"/>
        <v>0.85359599310716283</v>
      </c>
      <c r="G184" s="1">
        <f t="shared" ca="1" si="10"/>
        <v>-8.0619265946495655E-2</v>
      </c>
      <c r="I184" s="1">
        <f t="array" aca="1" ref="I184:J184" ca="1">TRANSPOSE(MMULT($D$11:$E$12,TRANSPOSE(F184:G184)))</f>
        <v>0.85359599310700784</v>
      </c>
      <c r="J184" s="1">
        <f ca="1"/>
        <v>0.34517849479144253</v>
      </c>
      <c r="L184" s="1">
        <f t="shared" ca="1" si="8"/>
        <v>0.80333556028333797</v>
      </c>
      <c r="M184" s="1">
        <f t="shared" ca="1" si="9"/>
        <v>0.63501990749168391</v>
      </c>
      <c r="O184" s="2">
        <f t="shared" ca="1" si="11"/>
        <v>1.5925577524071519E-2</v>
      </c>
      <c r="P184" s="2">
        <f t="shared" ca="1" si="11"/>
        <v>6.9760563607943315E-3</v>
      </c>
    </row>
    <row r="185" spans="1:16" x14ac:dyDescent="0.25">
      <c r="A185" s="2">
        <v>-1.4565246662439463E-2</v>
      </c>
      <c r="B185" s="2">
        <v>3.7203765450133001E-4</v>
      </c>
      <c r="F185" s="1">
        <f t="shared" ca="1" si="10"/>
        <v>-1.479668171033398E-2</v>
      </c>
      <c r="G185" s="1">
        <f t="shared" ca="1" si="10"/>
        <v>2.4820485238888765</v>
      </c>
      <c r="I185" s="1">
        <f t="array" aca="1" ref="I185:J185" ca="1">TRANSPOSE(MMULT($D$11:$E$12,TRANSPOSE(F185:G185)))</f>
        <v>-1.4796681710331295E-2</v>
      </c>
      <c r="J185" s="1">
        <f ca="1"/>
        <v>2.1607908711517347</v>
      </c>
      <c r="L185" s="1">
        <f t="shared" ca="1" si="8"/>
        <v>0.49409719345206377</v>
      </c>
      <c r="M185" s="1">
        <f t="shared" ca="1" si="9"/>
        <v>0.98464425121659571</v>
      </c>
      <c r="O185" s="2">
        <f t="shared" ca="1" si="11"/>
        <v>-5.9415139176576491E-4</v>
      </c>
      <c r="P185" s="2">
        <f t="shared" ca="1" si="11"/>
        <v>4.6290350905267633E-2</v>
      </c>
    </row>
    <row r="186" spans="1:16" x14ac:dyDescent="0.25">
      <c r="A186" s="2">
        <v>4.0883131351523768E-3</v>
      </c>
      <c r="B186" s="2">
        <v>2.6034402750509534E-4</v>
      </c>
      <c r="F186" s="1">
        <f t="shared" ca="1" si="10"/>
        <v>-0.82116944613199205</v>
      </c>
      <c r="G186" s="1">
        <f t="shared" ca="1" si="10"/>
        <v>-0.22588832665559461</v>
      </c>
      <c r="I186" s="1">
        <f t="array" aca="1" ref="I186:J186" ca="1">TRANSPOSE(MMULT($D$11:$E$12,TRANSPOSE(F186:G186)))</f>
        <v>-0.82116944613184295</v>
      </c>
      <c r="J186" s="1">
        <f ca="1"/>
        <v>-0.59711592851347051</v>
      </c>
      <c r="L186" s="1">
        <f t="shared" ca="1" si="8"/>
        <v>0.20577487876873568</v>
      </c>
      <c r="M186" s="1">
        <f t="shared" ca="1" si="9"/>
        <v>0.27521499198719945</v>
      </c>
      <c r="O186" s="2">
        <f t="shared" ca="1" si="11"/>
        <v>-1.593405447899492E-2</v>
      </c>
      <c r="P186" s="2">
        <f t="shared" ca="1" si="11"/>
        <v>-1.3427880618137451E-2</v>
      </c>
    </row>
    <row r="187" spans="1:16" x14ac:dyDescent="0.25">
      <c r="A187" s="2">
        <v>1.0716030973448505E-3</v>
      </c>
      <c r="B187" s="2">
        <v>-2.089280519987163E-2</v>
      </c>
      <c r="F187" s="1">
        <f t="shared" ca="1" si="10"/>
        <v>-2.5569930202972969E-2</v>
      </c>
      <c r="G187" s="1">
        <f t="shared" ca="1" si="10"/>
        <v>-0.68289689238369633</v>
      </c>
      <c r="I187" s="1">
        <f t="array" aca="1" ref="I187:J187" ca="1">TRANSPOSE(MMULT($D$11:$E$12,TRANSPOSE(F187:G187)))</f>
        <v>-2.5569930202968327E-2</v>
      </c>
      <c r="J187" s="1">
        <f ca="1"/>
        <v>-0.60893941617320047</v>
      </c>
      <c r="L187" s="1">
        <f t="shared" ca="1" si="8"/>
        <v>0.4898001852233102</v>
      </c>
      <c r="M187" s="1">
        <f t="shared" ca="1" si="9"/>
        <v>0.27128229830631345</v>
      </c>
      <c r="O187" s="2">
        <f t="shared" ca="1" si="11"/>
        <v>-7.9909455837959146E-4</v>
      </c>
      <c r="P187" s="2">
        <f t="shared" ca="1" si="11"/>
        <v>-1.3683900065046814E-2</v>
      </c>
    </row>
    <row r="188" spans="1:16" x14ac:dyDescent="0.25">
      <c r="A188" s="2">
        <v>-1.1774544095131777E-2</v>
      </c>
      <c r="B188" s="2">
        <v>-1.8549568009613278E-2</v>
      </c>
      <c r="F188" s="1">
        <f t="shared" ca="1" si="10"/>
        <v>-1.5500188777607382</v>
      </c>
      <c r="G188" s="1">
        <f t="shared" ca="1" si="10"/>
        <v>-0.17079121886890822</v>
      </c>
      <c r="I188" s="1">
        <f t="array" aca="1" ref="I188:J188" ca="1">TRANSPOSE(MMULT($D$11:$E$12,TRANSPOSE(F188:G188)))</f>
        <v>-1.5500188777604569</v>
      </c>
      <c r="J188" s="1">
        <f ca="1"/>
        <v>-0.90385092245236498</v>
      </c>
      <c r="L188" s="1">
        <f t="shared" ca="1" si="8"/>
        <v>6.0568492534035852E-2</v>
      </c>
      <c r="M188" s="1">
        <f t="shared" ca="1" si="9"/>
        <v>0.18303722783253573</v>
      </c>
      <c r="O188" s="2">
        <f t="shared" ca="1" si="11"/>
        <v>-2.9799204865597853E-2</v>
      </c>
      <c r="P188" s="2">
        <f t="shared" ca="1" si="11"/>
        <v>-2.0069755313321783E-2</v>
      </c>
    </row>
    <row r="189" spans="1:16" x14ac:dyDescent="0.25">
      <c r="A189" s="2">
        <v>-2.676700709967637E-2</v>
      </c>
      <c r="B189" s="2">
        <v>-1.7422618960851082E-3</v>
      </c>
      <c r="F189" s="1">
        <f t="shared" ca="1" si="10"/>
        <v>0.6369794477590961</v>
      </c>
      <c r="G189" s="1">
        <f t="shared" ca="1" si="10"/>
        <v>-0.59084430237941454</v>
      </c>
      <c r="I189" s="1">
        <f t="array" aca="1" ref="I189:J189" ca="1">TRANSPOSE(MMULT($D$11:$E$12,TRANSPOSE(F189:G189)))</f>
        <v>0.63697944775898052</v>
      </c>
      <c r="J189" s="1">
        <f ca="1"/>
        <v>-0.20595359804428454</v>
      </c>
      <c r="L189" s="1">
        <f t="shared" ca="1" si="8"/>
        <v>0.73793088458994038</v>
      </c>
      <c r="M189" s="1">
        <f t="shared" ca="1" si="9"/>
        <v>0.41841357879765351</v>
      </c>
      <c r="O189" s="2">
        <f t="shared" ca="1" si="11"/>
        <v>1.1804807379865395E-2</v>
      </c>
      <c r="P189" s="2">
        <f t="shared" ca="1" si="11"/>
        <v>-4.9578617556330059E-3</v>
      </c>
    </row>
    <row r="190" spans="1:16" x14ac:dyDescent="0.25">
      <c r="A190" s="2">
        <v>8.8947880018031417E-3</v>
      </c>
      <c r="B190" s="2">
        <v>7.7587095249586477E-3</v>
      </c>
      <c r="F190" s="1">
        <f t="shared" ca="1" si="10"/>
        <v>0.34167511932821515</v>
      </c>
      <c r="G190" s="1">
        <f t="shared" ca="1" si="10"/>
        <v>-2.7531591089695095</v>
      </c>
      <c r="I190" s="1">
        <f t="array" aca="1" ref="I190:J190" ca="1">TRANSPOSE(MMULT($D$11:$E$12,TRANSPOSE(F190:G190)))</f>
        <v>0.34167511932815314</v>
      </c>
      <c r="J190" s="1">
        <f ca="1"/>
        <v>-2.238447966133581</v>
      </c>
      <c r="L190" s="1">
        <f t="shared" ca="1" si="8"/>
        <v>0.63370230083548096</v>
      </c>
      <c r="M190" s="1">
        <f t="shared" ca="1" si="9"/>
        <v>1.259592852228702E-2</v>
      </c>
      <c r="O190" s="2">
        <f t="shared" ca="1" si="11"/>
        <v>6.1871328015108791E-3</v>
      </c>
      <c r="P190" s="2">
        <f t="shared" ca="1" si="11"/>
        <v>-4.8968402379524989E-2</v>
      </c>
    </row>
    <row r="191" spans="1:16" x14ac:dyDescent="0.25">
      <c r="A191" s="2">
        <v>-2.8060108066792575E-3</v>
      </c>
      <c r="B191" s="2">
        <v>-7.7199595976100727E-3</v>
      </c>
      <c r="F191" s="1">
        <f t="shared" ca="1" si="10"/>
        <v>0.94429479759892043</v>
      </c>
      <c r="G191" s="1">
        <f t="shared" ca="1" si="10"/>
        <v>-2.8528271372403511</v>
      </c>
      <c r="I191" s="1">
        <f t="array" aca="1" ref="I191:J191" ca="1">TRANSPOSE(MMULT($D$11:$E$12,TRANSPOSE(F191:G191)))</f>
        <v>0.94429479759874901</v>
      </c>
      <c r="J191" s="1">
        <f ca="1"/>
        <v>-2.0321028112739259</v>
      </c>
      <c r="L191" s="1">
        <f t="shared" ca="1" si="8"/>
        <v>0.82749048815124771</v>
      </c>
      <c r="M191" s="1">
        <f t="shared" ca="1" si="9"/>
        <v>2.1071624428823314E-2</v>
      </c>
      <c r="O191" s="2">
        <f t="shared" ca="1" si="11"/>
        <v>1.7650971699591515E-2</v>
      </c>
      <c r="P191" s="2">
        <f t="shared" ca="1" si="11"/>
        <v>-4.4500315302348332E-2</v>
      </c>
    </row>
    <row r="192" spans="1:16" x14ac:dyDescent="0.25">
      <c r="A192" s="2">
        <v>-4.5729393554091525E-3</v>
      </c>
      <c r="B192" s="2">
        <v>3.1723951087616995E-3</v>
      </c>
      <c r="F192" s="1">
        <f t="shared" ca="1" si="10"/>
        <v>0.6359932689118839</v>
      </c>
      <c r="G192" s="1">
        <f t="shared" ca="1" si="10"/>
        <v>-1.0937428485774152</v>
      </c>
      <c r="I192" s="1">
        <f t="array" aca="1" ref="I192:J192" ca="1">TRANSPOSE(MMULT($D$11:$E$12,TRANSPOSE(F192:G192)))</f>
        <v>0.63599326891176844</v>
      </c>
      <c r="J192" s="1">
        <f ca="1"/>
        <v>-0.64570056499224382</v>
      </c>
      <c r="L192" s="1">
        <f t="shared" ca="1" si="8"/>
        <v>0.73760959536642756</v>
      </c>
      <c r="M192" s="1">
        <f t="shared" ca="1" si="9"/>
        <v>0.25923664730893259</v>
      </c>
      <c r="O192" s="2">
        <f t="shared" ca="1" si="11"/>
        <v>1.1786046964570671E-2</v>
      </c>
      <c r="P192" s="2">
        <f t="shared" ca="1" si="11"/>
        <v>-1.4479906223234782E-2</v>
      </c>
    </row>
    <row r="193" spans="1:16" x14ac:dyDescent="0.25">
      <c r="A193" s="2">
        <v>0</v>
      </c>
      <c r="B193" s="2">
        <v>0</v>
      </c>
      <c r="F193" s="1">
        <f t="shared" ca="1" si="10"/>
        <v>-2.5121122791345094</v>
      </c>
      <c r="G193" s="1">
        <f t="shared" ca="1" si="10"/>
        <v>-2.4385507310325893</v>
      </c>
      <c r="I193" s="1">
        <f t="array" aca="1" ref="I193:J193" ca="1">TRANSPOSE(MMULT($D$11:$E$12,TRANSPOSE(F193:G193)))</f>
        <v>-2.5121122791340533</v>
      </c>
      <c r="J193" s="1">
        <f ca="1"/>
        <v>-3.3530929342379521</v>
      </c>
      <c r="L193" s="1">
        <f t="shared" ca="1" si="8"/>
        <v>6.0005449434721138E-3</v>
      </c>
      <c r="M193" s="1">
        <f t="shared" ca="1" si="9"/>
        <v>3.9956934394089021E-4</v>
      </c>
      <c r="O193" s="2">
        <f t="shared" ca="1" si="11"/>
        <v>-4.8101434540382654E-2</v>
      </c>
      <c r="P193" s="2">
        <f t="shared" ca="1" si="11"/>
        <v>-7.3104325420773483E-2</v>
      </c>
    </row>
    <row r="194" spans="1:16" x14ac:dyDescent="0.25">
      <c r="A194" s="2">
        <v>0</v>
      </c>
      <c r="B194" s="2">
        <v>-1.0874315863863684E-2</v>
      </c>
      <c r="F194" s="1">
        <f t="shared" ca="1" si="10"/>
        <v>0.84992834755207891</v>
      </c>
      <c r="G194" s="1">
        <f t="shared" ca="1" si="10"/>
        <v>0.47834870209173347</v>
      </c>
      <c r="I194" s="1">
        <f t="array" aca="1" ref="I194:J194" ca="1">TRANSPOSE(MMULT($D$11:$E$12,TRANSPOSE(F194:G194)))</f>
        <v>0.84992834755192459</v>
      </c>
      <c r="J194" s="1">
        <f ca="1"/>
        <v>0.83163457826892362</v>
      </c>
      <c r="L194" s="1">
        <f t="shared" ca="1" si="8"/>
        <v>0.80231753797313532</v>
      </c>
      <c r="M194" s="1">
        <f t="shared" ca="1" si="9"/>
        <v>0.7971923809089847</v>
      </c>
      <c r="O194" s="2">
        <f t="shared" ca="1" si="11"/>
        <v>1.5855806656483187E-2</v>
      </c>
      <c r="P194" s="2">
        <f t="shared" ca="1" si="11"/>
        <v>1.7509514932564647E-2</v>
      </c>
    </row>
    <row r="195" spans="1:16" x14ac:dyDescent="0.25">
      <c r="A195" s="2">
        <v>1.8277588516653943E-3</v>
      </c>
      <c r="B195" s="2">
        <v>9.4054327238382116E-3</v>
      </c>
      <c r="F195" s="1">
        <f t="shared" ca="1" si="10"/>
        <v>8.8746916847546709E-2</v>
      </c>
      <c r="G195" s="1">
        <f t="shared" ca="1" si="10"/>
        <v>-1.8535511108250089</v>
      </c>
      <c r="I195" s="1">
        <f t="array" aca="1" ref="I195:J195" ca="1">TRANSPOSE(MMULT($D$11:$E$12,TRANSPOSE(F195:G195)))</f>
        <v>8.8746916847530596E-2</v>
      </c>
      <c r="J195" s="1">
        <f ca="1"/>
        <v>-1.5758124705108512</v>
      </c>
      <c r="L195" s="1">
        <f t="shared" ref="L195:L263" ca="1" si="12">NORMSDIST(I195)</f>
        <v>0.53535847732126207</v>
      </c>
      <c r="M195" s="1">
        <f t="shared" ref="M195:M263" ca="1" si="13">NORMSDIST(J195)</f>
        <v>5.7534513792688605E-2</v>
      </c>
      <c r="O195" s="2">
        <f t="shared" ca="1" si="11"/>
        <v>1.3755936656829953E-3</v>
      </c>
      <c r="P195" s="2">
        <f t="shared" ca="1" si="11"/>
        <v>-3.4620049509867398E-2</v>
      </c>
    </row>
    <row r="196" spans="1:16" x14ac:dyDescent="0.25">
      <c r="A196" s="2">
        <v>4.2224951909160995E-3</v>
      </c>
      <c r="B196" s="2">
        <v>2.6642797269445091E-2</v>
      </c>
      <c r="F196" s="1">
        <f t="shared" ref="F196:G259" ca="1" si="14">NORMSINV(RAND())</f>
        <v>-0.72396097729901909</v>
      </c>
      <c r="G196" s="1">
        <f t="shared" ca="1" si="14"/>
        <v>4.6811903454122047E-2</v>
      </c>
      <c r="I196" s="1">
        <f t="array" aca="1" ref="I196:J196" ca="1">TRANSPOSE(MMULT($D$11:$E$12,TRANSPOSE(F196:G196)))</f>
        <v>-0.72396097729888764</v>
      </c>
      <c r="J196" s="1">
        <f ca="1"/>
        <v>-0.31159179149192068</v>
      </c>
      <c r="L196" s="1">
        <f t="shared" ca="1" si="12"/>
        <v>0.23454484624911523</v>
      </c>
      <c r="M196" s="1">
        <f t="shared" ca="1" si="13"/>
        <v>0.37767538666215006</v>
      </c>
      <c r="O196" s="2">
        <f t="shared" ref="O196:P259" ca="1" si="15">NORMINV(L196,D$16,D$17)</f>
        <v>-1.4084824746855807E-2</v>
      </c>
      <c r="P196" s="2">
        <f t="shared" ca="1" si="15"/>
        <v>-7.2452944182545319E-3</v>
      </c>
    </row>
    <row r="197" spans="1:16" x14ac:dyDescent="0.25">
      <c r="A197" s="2">
        <v>1.2088379639115465E-2</v>
      </c>
      <c r="B197" s="2">
        <v>2.5204565209910354E-3</v>
      </c>
      <c r="F197" s="1">
        <f t="shared" ca="1" si="14"/>
        <v>1.2250028994439055</v>
      </c>
      <c r="G197" s="1">
        <f t="shared" ca="1" si="14"/>
        <v>-0.84087558256175854</v>
      </c>
      <c r="I197" s="1">
        <f t="array" aca="1" ref="I197:J197" ca="1">TRANSPOSE(MMULT($D$11:$E$12,TRANSPOSE(F197:G197)))</f>
        <v>1.2250028994436832</v>
      </c>
      <c r="J197" s="1">
        <f ca="1"/>
        <v>-0.1380528202286978</v>
      </c>
      <c r="L197" s="1">
        <f t="shared" ca="1" si="12"/>
        <v>0.88971293596689205</v>
      </c>
      <c r="M197" s="1">
        <f t="shared" ca="1" si="13"/>
        <v>0.44509933632475662</v>
      </c>
      <c r="O197" s="2">
        <f t="shared" ca="1" si="15"/>
        <v>2.2990977300091298E-2</v>
      </c>
      <c r="P197" s="2">
        <f t="shared" ca="1" si="15"/>
        <v>-3.4875748080455292E-3</v>
      </c>
    </row>
    <row r="198" spans="1:16" x14ac:dyDescent="0.25">
      <c r="A198" s="2">
        <v>7.1508964195224718E-3</v>
      </c>
      <c r="B198" s="2">
        <v>1.2210984640746684E-2</v>
      </c>
      <c r="F198" s="1">
        <f t="shared" ca="1" si="14"/>
        <v>-0.25845937197935803</v>
      </c>
      <c r="G198" s="1">
        <f t="shared" ca="1" si="14"/>
        <v>1.3119316055139745</v>
      </c>
      <c r="I198" s="1">
        <f t="array" aca="1" ref="I198:J198" ca="1">TRANSPOSE(MMULT($D$11:$E$12,TRANSPOSE(F198:G198)))</f>
        <v>-0.25845937197931113</v>
      </c>
      <c r="J198" s="1">
        <f ca="1"/>
        <v>1.0200948134680068</v>
      </c>
      <c r="L198" s="1">
        <f t="shared" ca="1" si="12"/>
        <v>0.3980262001909658</v>
      </c>
      <c r="M198" s="1">
        <f t="shared" ca="1" si="13"/>
        <v>0.84615825184283555</v>
      </c>
      <c r="O198" s="2">
        <f t="shared" ca="1" si="15"/>
        <v>-5.2294295405523744E-3</v>
      </c>
      <c r="P198" s="2">
        <f t="shared" ca="1" si="15"/>
        <v>2.1590331572177095E-2</v>
      </c>
    </row>
    <row r="199" spans="1:16" x14ac:dyDescent="0.25">
      <c r="A199" s="2">
        <v>2.5834576857733747E-2</v>
      </c>
      <c r="B199" s="2">
        <v>2.7057597263442346E-3</v>
      </c>
      <c r="F199" s="1">
        <f t="shared" ca="1" si="14"/>
        <v>-0.59704031854061712</v>
      </c>
      <c r="G199" s="1">
        <f t="shared" ca="1" si="14"/>
        <v>0.66263078488286686</v>
      </c>
      <c r="I199" s="1">
        <f t="array" aca="1" ref="I199:J199" ca="1">TRANSPOSE(MMULT($D$11:$E$12,TRANSPOSE(F199:G199)))</f>
        <v>-0.59704031854050876</v>
      </c>
      <c r="J199" s="1">
        <f ca="1"/>
        <v>0.28810241913936024</v>
      </c>
      <c r="L199" s="1">
        <f t="shared" ca="1" si="12"/>
        <v>0.27524023119160035</v>
      </c>
      <c r="M199" s="1">
        <f t="shared" ca="1" si="13"/>
        <v>0.6133658295521156</v>
      </c>
      <c r="O199" s="2">
        <f t="shared" ca="1" si="15"/>
        <v>-1.1670369930146378E-2</v>
      </c>
      <c r="P199" s="2">
        <f t="shared" ca="1" si="15"/>
        <v>5.7401616958070254E-3</v>
      </c>
    </row>
    <row r="200" spans="1:16" x14ac:dyDescent="0.25">
      <c r="A200" s="2">
        <v>7.1609463409602822E-3</v>
      </c>
      <c r="B200" s="2">
        <v>4.4688272623235638E-3</v>
      </c>
      <c r="F200" s="1">
        <f t="shared" ca="1" si="14"/>
        <v>-0.69012554236970258</v>
      </c>
      <c r="G200" s="1">
        <f t="shared" ca="1" si="14"/>
        <v>0.44009687967326255</v>
      </c>
      <c r="I200" s="1">
        <f t="array" aca="1" ref="I200:J200" ca="1">TRANSPOSE(MMULT($D$11:$E$12,TRANSPOSE(F200:G200)))</f>
        <v>-0.69012554236957735</v>
      </c>
      <c r="J200" s="1">
        <f ca="1"/>
        <v>4.8404581229037513E-2</v>
      </c>
      <c r="L200" s="1">
        <f t="shared" ca="1" si="12"/>
        <v>0.24505762088879435</v>
      </c>
      <c r="M200" s="1">
        <f t="shared" ca="1" si="13"/>
        <v>0.51930309585307577</v>
      </c>
      <c r="O200" s="2">
        <f t="shared" ca="1" si="15"/>
        <v>-1.3441161771578836E-2</v>
      </c>
      <c r="P200" s="2">
        <f t="shared" ca="1" si="15"/>
        <v>5.4987354621257472E-4</v>
      </c>
    </row>
    <row r="201" spans="1:16" x14ac:dyDescent="0.25">
      <c r="A201" s="2">
        <v>2.6209331441191364E-2</v>
      </c>
      <c r="B201" s="2">
        <v>7.3672969037526551E-4</v>
      </c>
      <c r="F201" s="1">
        <f t="shared" ca="1" si="14"/>
        <v>0.93039301557095111</v>
      </c>
      <c r="G201" s="1">
        <f t="shared" ca="1" si="14"/>
        <v>-1.9709252181878085</v>
      </c>
      <c r="I201" s="1">
        <f t="array" aca="1" ref="I201:J201" ca="1">TRANSPOSE(MMULT($D$11:$E$12,TRANSPOSE(F201:G201)))</f>
        <v>0.93039301557078224</v>
      </c>
      <c r="J201" s="1">
        <f ca="1"/>
        <v>-1.268556368153551</v>
      </c>
      <c r="L201" s="1">
        <f t="shared" ca="1" si="12"/>
        <v>0.82391618324626714</v>
      </c>
      <c r="M201" s="1">
        <f t="shared" ca="1" si="13"/>
        <v>0.10229966720373948</v>
      </c>
      <c r="O201" s="2">
        <f t="shared" ca="1" si="15"/>
        <v>1.7386513376520824E-2</v>
      </c>
      <c r="P201" s="2">
        <f t="shared" ca="1" si="15"/>
        <v>-2.7966891013075659E-2</v>
      </c>
    </row>
    <row r="202" spans="1:16" x14ac:dyDescent="0.25">
      <c r="A202" s="2">
        <v>-1.1426721849843644E-2</v>
      </c>
      <c r="B202" s="2">
        <v>-4.4500303050674386E-2</v>
      </c>
      <c r="F202" s="1">
        <f t="shared" ca="1" si="14"/>
        <v>0.2112126873142329</v>
      </c>
      <c r="G202" s="1">
        <f t="shared" ca="1" si="14"/>
        <v>-0.66630393164632784</v>
      </c>
      <c r="I202" s="1">
        <f t="array" aca="1" ref="I202:J202" ca="1">TRANSPOSE(MMULT($D$11:$E$12,TRANSPOSE(F202:G202)))</f>
        <v>0.21121268731419457</v>
      </c>
      <c r="J202" s="1">
        <f ca="1"/>
        <v>-0.47916174266218636</v>
      </c>
      <c r="L202" s="1">
        <f t="shared" ca="1" si="12"/>
        <v>0.58363934448713373</v>
      </c>
      <c r="M202" s="1">
        <f t="shared" ca="1" si="13"/>
        <v>0.31591178419795102</v>
      </c>
      <c r="O202" s="2">
        <f t="shared" ca="1" si="15"/>
        <v>3.7053016287355244E-3</v>
      </c>
      <c r="P202" s="2">
        <f t="shared" ca="1" si="15"/>
        <v>-1.0873764075592627E-2</v>
      </c>
    </row>
    <row r="203" spans="1:16" x14ac:dyDescent="0.25">
      <c r="A203" s="2">
        <v>-1.4272646521691636E-3</v>
      </c>
      <c r="B203" s="2">
        <v>7.699414848270038E-5</v>
      </c>
      <c r="F203" s="1">
        <f t="shared" ca="1" si="14"/>
        <v>0.58992327847005854</v>
      </c>
      <c r="G203" s="1">
        <f t="shared" ca="1" si="14"/>
        <v>1.6191630839959998</v>
      </c>
      <c r="I203" s="1">
        <f t="array" aca="1" ref="I203:J203" ca="1">TRANSPOSE(MMULT($D$11:$E$12,TRANSPOSE(F203:G203)))</f>
        <v>0.58992327846995141</v>
      </c>
      <c r="J203" s="1">
        <f ca="1"/>
        <v>1.7015110561477709</v>
      </c>
      <c r="L203" s="1">
        <f t="shared" ca="1" si="12"/>
        <v>0.72237895659492124</v>
      </c>
      <c r="M203" s="1">
        <f t="shared" ca="1" si="13"/>
        <v>0.95557646825006171</v>
      </c>
      <c r="O203" s="2">
        <f t="shared" ca="1" si="15"/>
        <v>1.0909641882717445E-2</v>
      </c>
      <c r="P203" s="2">
        <f t="shared" ca="1" si="15"/>
        <v>3.6345352644353623E-2</v>
      </c>
    </row>
    <row r="204" spans="1:16" x14ac:dyDescent="0.25">
      <c r="A204" s="2">
        <v>7.2342119112228974E-3</v>
      </c>
      <c r="B204" s="2">
        <v>-2.1580801469849274E-3</v>
      </c>
      <c r="F204" s="1">
        <f t="shared" ca="1" si="14"/>
        <v>1.0247046752292859</v>
      </c>
      <c r="G204" s="1">
        <f t="shared" ca="1" si="14"/>
        <v>-2.3980045554112466</v>
      </c>
      <c r="I204" s="1">
        <f t="array" aca="1" ref="I204:J204" ca="1">TRANSPOSE(MMULT($D$11:$E$12,TRANSPOSE(F204:G204)))</f>
        <v>1.0247046752290998</v>
      </c>
      <c r="J204" s="1">
        <f ca="1"/>
        <v>-1.5956791170966833</v>
      </c>
      <c r="L204" s="1">
        <f t="shared" ca="1" si="12"/>
        <v>0.84724872180154087</v>
      </c>
      <c r="M204" s="1">
        <f t="shared" ca="1" si="13"/>
        <v>5.5280226679274534E-2</v>
      </c>
      <c r="O204" s="2">
        <f t="shared" ca="1" si="15"/>
        <v>1.9180636123451899E-2</v>
      </c>
      <c r="P204" s="2">
        <f t="shared" ca="1" si="15"/>
        <v>-3.5050231197134865E-2</v>
      </c>
    </row>
    <row r="205" spans="1:16" x14ac:dyDescent="0.25">
      <c r="A205" s="2">
        <v>-2.3661111280015115E-3</v>
      </c>
      <c r="B205" s="2">
        <v>-4.9890846625710236E-3</v>
      </c>
      <c r="F205" s="1">
        <f t="shared" ca="1" si="14"/>
        <v>-0.33725705248529619</v>
      </c>
      <c r="G205" s="1">
        <f t="shared" ca="1" si="14"/>
        <v>0.70690428830695129</v>
      </c>
      <c r="I205" s="1">
        <f t="array" aca="1" ref="I205:J205" ca="1">TRANSPOSE(MMULT($D$11:$E$12,TRANSPOSE(F205:G205)))</f>
        <v>-0.33725705248523496</v>
      </c>
      <c r="J205" s="1">
        <f ca="1"/>
        <v>0.45325672469478939</v>
      </c>
      <c r="L205" s="1">
        <f t="shared" ca="1" si="12"/>
        <v>0.36796156609582625</v>
      </c>
      <c r="M205" s="1">
        <f t="shared" ca="1" si="13"/>
        <v>0.67481805475649603</v>
      </c>
      <c r="O205" s="2">
        <f t="shared" ca="1" si="15"/>
        <v>-6.7284245907218466E-3</v>
      </c>
      <c r="P205" s="2">
        <f t="shared" ca="1" si="15"/>
        <v>9.316324261359853E-3</v>
      </c>
    </row>
    <row r="206" spans="1:16" x14ac:dyDescent="0.25">
      <c r="A206" s="2">
        <v>1.2019560547771352E-3</v>
      </c>
      <c r="B206" s="2">
        <v>-6.9643312318348081E-3</v>
      </c>
      <c r="F206" s="1">
        <f t="shared" ca="1" si="14"/>
        <v>-0.67943315165755214</v>
      </c>
      <c r="G206" s="1">
        <f t="shared" ca="1" si="14"/>
        <v>-1.3866657105258955</v>
      </c>
      <c r="I206" s="1">
        <f t="array" aca="1" ref="I206:J206" ca="1">TRANSPOSE(MMULT($D$11:$E$12,TRANSPOSE(F206:G206)))</f>
        <v>-0.67943315165742879</v>
      </c>
      <c r="J206" s="1">
        <f ca="1"/>
        <v>-1.5420119411825932</v>
      </c>
      <c r="L206" s="1">
        <f t="shared" ca="1" si="12"/>
        <v>0.24843172520048418</v>
      </c>
      <c r="M206" s="1">
        <f t="shared" ca="1" si="13"/>
        <v>6.1535345927547551E-2</v>
      </c>
      <c r="O206" s="2">
        <f t="shared" ca="1" si="15"/>
        <v>-1.3237756789997128E-2</v>
      </c>
      <c r="P206" s="2">
        <f t="shared" ca="1" si="15"/>
        <v>-3.3888151014862568E-2</v>
      </c>
    </row>
    <row r="207" spans="1:16" x14ac:dyDescent="0.25">
      <c r="A207" s="2">
        <v>1.5092069967100575E-2</v>
      </c>
      <c r="B207" s="2">
        <v>1.1315970381258241E-3</v>
      </c>
      <c r="F207" s="1">
        <f t="shared" ca="1" si="14"/>
        <v>-0.69072004520277896</v>
      </c>
      <c r="G207" s="1">
        <f t="shared" ca="1" si="14"/>
        <v>-0.68711441243665172</v>
      </c>
      <c r="I207" s="1">
        <f t="array" aca="1" ref="I207:J207" ca="1">TRANSPOSE(MMULT($D$11:$E$12,TRANSPOSE(F207:G207)))</f>
        <v>-0.69072004520265362</v>
      </c>
      <c r="J207" s="1">
        <f ca="1"/>
        <v>-0.93647017270228694</v>
      </c>
      <c r="L207" s="1">
        <f t="shared" ca="1" si="12"/>
        <v>0.2448707449208819</v>
      </c>
      <c r="M207" s="1">
        <f t="shared" ca="1" si="13"/>
        <v>0.17451558140135051</v>
      </c>
      <c r="O207" s="2">
        <f t="shared" ca="1" si="15"/>
        <v>-1.3452471200972843E-2</v>
      </c>
      <c r="P207" s="2">
        <f t="shared" ca="1" si="15"/>
        <v>-2.0776075026076823E-2</v>
      </c>
    </row>
    <row r="208" spans="1:16" x14ac:dyDescent="0.25">
      <c r="A208" s="2">
        <v>1.2834334089680289E-2</v>
      </c>
      <c r="B208" s="2">
        <v>1.4403222511039903E-2</v>
      </c>
      <c r="F208" s="1">
        <f t="shared" ca="1" si="14"/>
        <v>0.4206352464208431</v>
      </c>
      <c r="G208" s="1">
        <f t="shared" ca="1" si="14"/>
        <v>1.0046502007399087</v>
      </c>
      <c r="I208" s="1">
        <f t="array" aca="1" ref="I208:J208" ca="1">TRANSPOSE(MMULT($D$11:$E$12,TRANSPOSE(F208:G208)))</f>
        <v>0.42063524642076677</v>
      </c>
      <c r="J208" s="1">
        <f ca="1"/>
        <v>1.0823298588398838</v>
      </c>
      <c r="L208" s="1">
        <f t="shared" ca="1" si="12"/>
        <v>0.66298927399087515</v>
      </c>
      <c r="M208" s="1">
        <f t="shared" ca="1" si="13"/>
        <v>0.86044700855891898</v>
      </c>
      <c r="O208" s="2">
        <f t="shared" ca="1" si="15"/>
        <v>7.689218128295117E-3</v>
      </c>
      <c r="P208" s="2">
        <f t="shared" ca="1" si="15"/>
        <v>2.2937935794639822E-2</v>
      </c>
    </row>
    <row r="209" spans="1:16" x14ac:dyDescent="0.25">
      <c r="A209" s="2">
        <v>-2.006744346114301E-2</v>
      </c>
      <c r="B209" s="2">
        <v>8.8787418325458715E-3</v>
      </c>
      <c r="F209" s="1">
        <f t="shared" ca="1" si="14"/>
        <v>0.85126131899029844</v>
      </c>
      <c r="G209" s="1">
        <f t="shared" ca="1" si="14"/>
        <v>0.14541864046124917</v>
      </c>
      <c r="I209" s="1">
        <f t="array" aca="1" ref="I209:J209" ca="1">TRANSPOSE(MMULT($D$11:$E$12,TRANSPOSE(F209:G209)))</f>
        <v>0.8512613189901439</v>
      </c>
      <c r="J209" s="1">
        <f ca="1"/>
        <v>0.54147913500883971</v>
      </c>
      <c r="L209" s="1">
        <f t="shared" ca="1" si="12"/>
        <v>0.80268789650977523</v>
      </c>
      <c r="M209" s="1">
        <f t="shared" ca="1" si="13"/>
        <v>0.70591131234044147</v>
      </c>
      <c r="O209" s="2">
        <f t="shared" ca="1" si="15"/>
        <v>1.5881164225069969E-2</v>
      </c>
      <c r="P209" s="2">
        <f t="shared" ca="1" si="15"/>
        <v>1.1226644916621616E-2</v>
      </c>
    </row>
    <row r="210" spans="1:16" x14ac:dyDescent="0.25">
      <c r="A210" s="2">
        <v>2.6234284797747743E-2</v>
      </c>
      <c r="B210" s="2">
        <v>5.5852270041459717E-3</v>
      </c>
      <c r="F210" s="1">
        <f t="shared" ca="1" si="14"/>
        <v>0.51200190310823468</v>
      </c>
      <c r="G210" s="1">
        <f t="shared" ca="1" si="14"/>
        <v>0.80957614097675101</v>
      </c>
      <c r="I210" s="1">
        <f t="array" aca="1" ref="I210:J210" ca="1">TRANSPOSE(MMULT($D$11:$E$12,TRANSPOSE(F210:G210)))</f>
        <v>0.51200190310814175</v>
      </c>
      <c r="J210" s="1">
        <f ca="1"/>
        <v>0.95642291438594174</v>
      </c>
      <c r="L210" s="1">
        <f t="shared" ca="1" si="12"/>
        <v>0.69567516117873596</v>
      </c>
      <c r="M210" s="1">
        <f t="shared" ca="1" si="13"/>
        <v>0.83057069377039794</v>
      </c>
      <c r="O210" s="2">
        <f t="shared" ca="1" si="15"/>
        <v>9.4273170830557456E-3</v>
      </c>
      <c r="P210" s="2">
        <f t="shared" ca="1" si="15"/>
        <v>2.021161449175252E-2</v>
      </c>
    </row>
    <row r="211" spans="1:16" x14ac:dyDescent="0.25">
      <c r="A211" s="2">
        <v>3.6933142638808297E-4</v>
      </c>
      <c r="B211" s="2">
        <v>-4.9267618907228251E-4</v>
      </c>
      <c r="F211" s="1">
        <f t="shared" ca="1" si="14"/>
        <v>-1.1216848858943103</v>
      </c>
      <c r="G211" s="1">
        <f t="shared" ca="1" si="14"/>
        <v>-0.58977698996450534</v>
      </c>
      <c r="I211" s="1">
        <f t="array" aca="1" ref="I211:J211" ca="1">TRANSPOSE(MMULT($D$11:$E$12,TRANSPOSE(F211:G211)))</f>
        <v>-1.1216848858941066</v>
      </c>
      <c r="J211" s="1">
        <f ca="1"/>
        <v>-1.0612760982021849</v>
      </c>
      <c r="L211" s="1">
        <f t="shared" ca="1" si="12"/>
        <v>0.13099822252632592</v>
      </c>
      <c r="M211" s="1">
        <f t="shared" ca="1" si="13"/>
        <v>0.14428222238642235</v>
      </c>
      <c r="O211" s="2">
        <f t="shared" ca="1" si="15"/>
        <v>-2.1650861798840713E-2</v>
      </c>
      <c r="P211" s="2">
        <f t="shared" ca="1" si="15"/>
        <v>-2.3478555456307663E-2</v>
      </c>
    </row>
    <row r="212" spans="1:16" x14ac:dyDescent="0.25">
      <c r="A212" s="2">
        <v>3.4282851438309313E-4</v>
      </c>
      <c r="B212" s="2">
        <v>-4.5211984084209686E-3</v>
      </c>
      <c r="F212" s="1">
        <f t="shared" ca="1" si="14"/>
        <v>-0.51267210295294541</v>
      </c>
      <c r="G212" s="1">
        <f t="shared" ca="1" si="14"/>
        <v>0.3138129380069356</v>
      </c>
      <c r="I212" s="1">
        <f t="array" aca="1" ref="I212:J212" ca="1">TRANSPOSE(MMULT($D$11:$E$12,TRANSPOSE(F212:G212)))</f>
        <v>-0.51267210295285237</v>
      </c>
      <c r="J212" s="1">
        <f ca="1"/>
        <v>2.4497495094120858E-2</v>
      </c>
      <c r="L212" s="1">
        <f t="shared" ca="1" si="12"/>
        <v>0.30409035354590885</v>
      </c>
      <c r="M212" s="1">
        <f t="shared" ca="1" si="13"/>
        <v>0.50977210912900783</v>
      </c>
      <c r="O212" s="2">
        <f t="shared" ca="1" si="15"/>
        <v>-1.0065404698358624E-2</v>
      </c>
      <c r="P212" s="2">
        <f t="shared" ca="1" si="15"/>
        <v>3.2202352599995047E-5</v>
      </c>
    </row>
    <row r="213" spans="1:16" x14ac:dyDescent="0.25">
      <c r="A213" s="2">
        <v>-9.0495159211294932E-3</v>
      </c>
      <c r="B213" s="2">
        <v>-4.8860653758829881E-3</v>
      </c>
      <c r="F213" s="1">
        <f t="shared" ca="1" si="14"/>
        <v>-0.20416341196970469</v>
      </c>
      <c r="G213" s="1">
        <f t="shared" ca="1" si="14"/>
        <v>3.2478803943670885E-2</v>
      </c>
      <c r="I213" s="1">
        <f t="array" aca="1" ref="I213:J213" ca="1">TRANSPOSE(MMULT($D$11:$E$12,TRANSPOSE(F213:G213)))</f>
        <v>-0.20416341196966764</v>
      </c>
      <c r="J213" s="1">
        <f ca="1"/>
        <v>-7.103338705938729E-2</v>
      </c>
      <c r="L213" s="1">
        <f t="shared" ca="1" si="12"/>
        <v>0.41911290107397392</v>
      </c>
      <c r="M213" s="1">
        <f t="shared" ca="1" si="13"/>
        <v>0.47168559178181996</v>
      </c>
      <c r="O213" s="2">
        <f t="shared" ca="1" si="15"/>
        <v>-4.1965390445873807E-3</v>
      </c>
      <c r="P213" s="2">
        <f t="shared" ca="1" si="15"/>
        <v>-2.036372023724425E-3</v>
      </c>
    </row>
    <row r="214" spans="1:16" x14ac:dyDescent="0.25">
      <c r="A214" s="2">
        <v>3.4086967970062259E-3</v>
      </c>
      <c r="B214" s="2">
        <v>8.7972619416486675E-4</v>
      </c>
      <c r="F214" s="1">
        <f t="shared" ca="1" si="14"/>
        <v>0.18471455630517405</v>
      </c>
      <c r="G214" s="1">
        <f t="shared" ca="1" si="14"/>
        <v>1.2892027610340779</v>
      </c>
      <c r="I214" s="1">
        <f t="array" aca="1" ref="I214:J214" ca="1">TRANSPOSE(MMULT($D$11:$E$12,TRANSPOSE(F214:G214)))</f>
        <v>0.18471455630514053</v>
      </c>
      <c r="J214" s="1">
        <f ca="1"/>
        <v>1.2160134320214611</v>
      </c>
      <c r="L214" s="1">
        <f t="shared" ca="1" si="12"/>
        <v>0.57327353581725871</v>
      </c>
      <c r="M214" s="1">
        <f t="shared" ca="1" si="13"/>
        <v>0.88801009735586267</v>
      </c>
      <c r="O214" s="2">
        <f t="shared" ca="1" si="15"/>
        <v>3.2012186790054417E-3</v>
      </c>
      <c r="P214" s="2">
        <f t="shared" ca="1" si="15"/>
        <v>2.5832648036221959E-2</v>
      </c>
    </row>
    <row r="215" spans="1:16" x14ac:dyDescent="0.25">
      <c r="A215" s="2">
        <v>1.3602319790896814E-3</v>
      </c>
      <c r="B215" s="2">
        <v>5.4903294846892917E-3</v>
      </c>
      <c r="F215" s="1">
        <f t="shared" ca="1" si="14"/>
        <v>0.32973245881076191</v>
      </c>
      <c r="G215" s="1">
        <f t="shared" ca="1" si="14"/>
        <v>2.0883631279328966E-2</v>
      </c>
      <c r="I215" s="1">
        <f t="array" aca="1" ref="I215:J215" ca="1">TRANSPOSE(MMULT($D$11:$E$12,TRANSPOSE(F215:G215)))</f>
        <v>0.32973245881070207</v>
      </c>
      <c r="J215" s="1">
        <f ca="1"/>
        <v>0.17878066756743002</v>
      </c>
      <c r="L215" s="1">
        <f t="shared" ca="1" si="12"/>
        <v>0.62919893723742781</v>
      </c>
      <c r="M215" s="1">
        <f t="shared" ca="1" si="13"/>
        <v>0.57094503712308631</v>
      </c>
      <c r="O215" s="2">
        <f t="shared" ca="1" si="15"/>
        <v>5.9599435126057648E-3</v>
      </c>
      <c r="P215" s="2">
        <f t="shared" ca="1" si="15"/>
        <v>3.3729672453965851E-3</v>
      </c>
    </row>
    <row r="216" spans="1:16" x14ac:dyDescent="0.25">
      <c r="A216" s="2">
        <v>1.0440222148077442E-2</v>
      </c>
      <c r="B216" s="2">
        <v>-1.0242388707036877E-2</v>
      </c>
      <c r="F216" s="1">
        <f t="shared" ca="1" si="14"/>
        <v>0.35637743877678829</v>
      </c>
      <c r="G216" s="1">
        <f t="shared" ca="1" si="14"/>
        <v>-0.91290062924802284</v>
      </c>
      <c r="I216" s="1">
        <f t="array" aca="1" ref="I216:J216" ca="1">TRANSPOSE(MMULT($D$11:$E$12,TRANSPOSE(F216:G216)))</f>
        <v>0.35637743877672362</v>
      </c>
      <c r="J216" s="1">
        <f ca="1"/>
        <v>-0.62387906573416418</v>
      </c>
      <c r="L216" s="1">
        <f t="shared" ca="1" si="12"/>
        <v>0.63922103851353496</v>
      </c>
      <c r="M216" s="1">
        <f t="shared" ca="1" si="13"/>
        <v>0.26635350472988328</v>
      </c>
      <c r="O216" s="2">
        <f t="shared" ca="1" si="15"/>
        <v>6.4668200199406228E-3</v>
      </c>
      <c r="P216" s="2">
        <f t="shared" ca="1" si="15"/>
        <v>-1.4007395206894422E-2</v>
      </c>
    </row>
    <row r="217" spans="1:16" x14ac:dyDescent="0.25">
      <c r="A217" s="2">
        <v>-1.2516644027672287E-2</v>
      </c>
      <c r="B217" s="2">
        <v>-5.8947214668737145E-3</v>
      </c>
      <c r="F217" s="1">
        <f t="shared" ca="1" si="14"/>
        <v>0.14993400206576732</v>
      </c>
      <c r="G217" s="1">
        <f t="shared" ca="1" si="14"/>
        <v>0.49481406463669458</v>
      </c>
      <c r="I217" s="1">
        <f t="array" aca="1" ref="I217:J217" ca="1">TRANSPOSE(MMULT($D$11:$E$12,TRANSPOSE(F217:G217)))</f>
        <v>0.14993400206574009</v>
      </c>
      <c r="J217" s="1">
        <f ca="1"/>
        <v>0.50520481510364357</v>
      </c>
      <c r="L217" s="1">
        <f t="shared" ca="1" si="12"/>
        <v>0.55959165742044448</v>
      </c>
      <c r="M217" s="1">
        <f t="shared" ca="1" si="13"/>
        <v>0.69329250564268907</v>
      </c>
      <c r="O217" s="2">
        <f t="shared" ca="1" si="15"/>
        <v>2.5395763779596332E-3</v>
      </c>
      <c r="P217" s="2">
        <f t="shared" ca="1" si="15"/>
        <v>1.0441180290073852E-2</v>
      </c>
    </row>
    <row r="218" spans="1:16" x14ac:dyDescent="0.25">
      <c r="A218" s="2">
        <v>2.58823777823863E-3</v>
      </c>
      <c r="B218" s="2">
        <v>-5.07487481943874E-3</v>
      </c>
      <c r="F218" s="1">
        <f t="shared" ca="1" si="14"/>
        <v>0.18036165985424044</v>
      </c>
      <c r="G218" s="1">
        <f t="shared" ca="1" si="14"/>
        <v>1.0026857167023056</v>
      </c>
      <c r="I218" s="1">
        <f t="array" aca="1" ref="I218:J218" ca="1">TRANSPOSE(MMULT($D$11:$E$12,TRANSPOSE(F218:G218)))</f>
        <v>0.18036165985420768</v>
      </c>
      <c r="J218" s="1">
        <f ca="1"/>
        <v>0.96363004598662727</v>
      </c>
      <c r="L218" s="1">
        <f t="shared" ca="1" si="12"/>
        <v>0.57156567415605897</v>
      </c>
      <c r="M218" s="1">
        <f t="shared" ca="1" si="13"/>
        <v>0.83238428124132779</v>
      </c>
      <c r="O218" s="2">
        <f t="shared" ca="1" si="15"/>
        <v>3.118412050790568E-3</v>
      </c>
      <c r="P218" s="2">
        <f t="shared" ca="1" si="15"/>
        <v>2.0367673845753005E-2</v>
      </c>
    </row>
    <row r="219" spans="1:16" x14ac:dyDescent="0.25">
      <c r="A219" s="2">
        <v>7.567171363978221E-3</v>
      </c>
      <c r="B219" s="2">
        <v>-3.6574493127104024E-3</v>
      </c>
      <c r="F219" s="1">
        <f t="shared" ca="1" si="14"/>
        <v>-2.4634956208956095E-2</v>
      </c>
      <c r="G219" s="1">
        <f t="shared" ca="1" si="14"/>
        <v>-1.1387346109844481</v>
      </c>
      <c r="I219" s="1">
        <f t="array" aca="1" ref="I219:J219" ca="1">TRANSPOSE(MMULT($D$11:$E$12,TRANSPOSE(F219:G219)))</f>
        <v>-2.4634956208951623E-2</v>
      </c>
      <c r="J219" s="1">
        <f ca="1"/>
        <v>-1.0066447928619695</v>
      </c>
      <c r="L219" s="1">
        <f t="shared" ca="1" si="12"/>
        <v>0.49017306836559005</v>
      </c>
      <c r="M219" s="1">
        <f t="shared" ca="1" si="13"/>
        <v>0.15705275044873812</v>
      </c>
      <c r="O219" s="2">
        <f t="shared" ca="1" si="15"/>
        <v>-7.8130823040559866E-4</v>
      </c>
      <c r="P219" s="2">
        <f t="shared" ca="1" si="15"/>
        <v>-2.229559853364119E-2</v>
      </c>
    </row>
    <row r="220" spans="1:16" x14ac:dyDescent="0.25">
      <c r="A220" s="2">
        <v>-4.4753797593234772E-3</v>
      </c>
      <c r="B220" s="2">
        <v>4.2010330962370564E-3</v>
      </c>
      <c r="F220" s="1">
        <f t="shared" ca="1" si="14"/>
        <v>3.388192654472201E-2</v>
      </c>
      <c r="G220" s="1">
        <f t="shared" ca="1" si="14"/>
        <v>1.4607968771393689</v>
      </c>
      <c r="I220" s="1">
        <f t="array" aca="1" ref="I220:J220" ca="1">TRANSPOSE(MMULT($D$11:$E$12,TRANSPOSE(F220:G220)))</f>
        <v>3.3881926544715862E-2</v>
      </c>
      <c r="J220" s="1">
        <f ca="1"/>
        <v>1.2924586819055037</v>
      </c>
      <c r="L220" s="1">
        <f t="shared" ca="1" si="12"/>
        <v>0.51351434727947887</v>
      </c>
      <c r="M220" s="1">
        <f t="shared" ca="1" si="13"/>
        <v>0.90190082704721908</v>
      </c>
      <c r="O220" s="2">
        <f t="shared" ca="1" si="15"/>
        <v>3.3187831310567271E-4</v>
      </c>
      <c r="P220" s="2">
        <f t="shared" ca="1" si="15"/>
        <v>2.7487952389506864E-2</v>
      </c>
    </row>
    <row r="221" spans="1:16" x14ac:dyDescent="0.25">
      <c r="A221" s="2">
        <v>-1.8516581904841907E-2</v>
      </c>
      <c r="B221" s="2">
        <v>-1.6871595860782903E-2</v>
      </c>
      <c r="F221" s="1">
        <f t="shared" ca="1" si="14"/>
        <v>0.59435408860705252</v>
      </c>
      <c r="G221" s="1">
        <f t="shared" ca="1" si="14"/>
        <v>1.2626810796078551</v>
      </c>
      <c r="I221" s="1">
        <f t="array" aca="1" ref="I221:J221" ca="1">TRANSPOSE(MMULT($D$11:$E$12,TRANSPOSE(F221:G221)))</f>
        <v>0.59435408860694461</v>
      </c>
      <c r="J221" s="1">
        <f ca="1"/>
        <v>1.392291965414006</v>
      </c>
      <c r="L221" s="1">
        <f t="shared" ca="1" si="12"/>
        <v>0.72386234549545292</v>
      </c>
      <c r="M221" s="1">
        <f t="shared" ca="1" si="13"/>
        <v>0.91808299822961759</v>
      </c>
      <c r="O221" s="2">
        <f t="shared" ca="1" si="15"/>
        <v>1.0993930689455787E-2</v>
      </c>
      <c r="P221" s="2">
        <f t="shared" ca="1" si="15"/>
        <v>2.9649688652322616E-2</v>
      </c>
    </row>
    <row r="222" spans="1:16" x14ac:dyDescent="0.25">
      <c r="A222" s="2">
        <v>0</v>
      </c>
      <c r="B222" s="2">
        <v>2.129506286244311E-3</v>
      </c>
      <c r="F222" s="1">
        <f t="shared" ca="1" si="14"/>
        <v>0.3555064050934259</v>
      </c>
      <c r="G222" s="1">
        <f t="shared" ca="1" si="14"/>
        <v>0.92967082861299477</v>
      </c>
      <c r="I222" s="1">
        <f t="array" aca="1" ref="I222:J222" ca="1">TRANSPOSE(MMULT($D$11:$E$12,TRANSPOSE(F222:G222)))</f>
        <v>0.35550640509336134</v>
      </c>
      <c r="J222" s="1">
        <f ca="1"/>
        <v>0.98512783061080234</v>
      </c>
      <c r="L222" s="1">
        <f t="shared" ca="1" si="12"/>
        <v>0.63889487632729547</v>
      </c>
      <c r="M222" s="1">
        <f t="shared" ca="1" si="13"/>
        <v>0.83771935774113127</v>
      </c>
      <c r="O222" s="2">
        <f t="shared" ca="1" si="15"/>
        <v>6.4502500502218764E-3</v>
      </c>
      <c r="P222" s="2">
        <f t="shared" ca="1" si="15"/>
        <v>2.0833175319400609E-2</v>
      </c>
    </row>
    <row r="223" spans="1:16" x14ac:dyDescent="0.25">
      <c r="A223" s="2">
        <v>8.9552779434286657E-4</v>
      </c>
      <c r="B223" s="2">
        <v>1.1476145769534096E-2</v>
      </c>
      <c r="F223" s="1">
        <f t="shared" ca="1" si="14"/>
        <v>-1.7526195108265943</v>
      </c>
      <c r="G223" s="1">
        <f t="shared" ca="1" si="14"/>
        <v>-1.3532153727153113</v>
      </c>
      <c r="I223" s="1">
        <f t="array" aca="1" ref="I223:J223" ca="1">TRANSPOSE(MMULT($D$11:$E$12,TRANSPOSE(F223:G223)))</f>
        <v>-1.7526195108262761</v>
      </c>
      <c r="J223" s="1">
        <f ca="1"/>
        <v>-2.0353047742845409</v>
      </c>
      <c r="L223" s="1">
        <f t="shared" ca="1" si="12"/>
        <v>3.9833669978302642E-2</v>
      </c>
      <c r="M223" s="1">
        <f t="shared" ca="1" si="13"/>
        <v>2.0910108044313994E-2</v>
      </c>
      <c r="O223" s="2">
        <f t="shared" ca="1" si="15"/>
        <v>-3.3653345548127628E-2</v>
      </c>
      <c r="P223" s="2">
        <f t="shared" ca="1" si="15"/>
        <v>-4.4569648888392835E-2</v>
      </c>
    </row>
    <row r="224" spans="1:16" x14ac:dyDescent="0.25">
      <c r="A224" s="2">
        <v>-2.1954692559160664E-3</v>
      </c>
      <c r="B224" s="2">
        <v>7.4880560944920122E-3</v>
      </c>
      <c r="F224" s="1">
        <f t="shared" ca="1" si="14"/>
        <v>-1.2030768105578455</v>
      </c>
      <c r="G224" s="1">
        <f t="shared" ca="1" si="14"/>
        <v>1.746622845043134</v>
      </c>
      <c r="I224" s="1">
        <f t="array" aca="1" ref="I224:J224" ca="1">TRANSPOSE(MMULT($D$11:$E$12,TRANSPOSE(F224:G224)))</f>
        <v>-1.2030768105576271</v>
      </c>
      <c r="J224" s="1">
        <f ca="1"/>
        <v>0.93987125456594989</v>
      </c>
      <c r="L224" s="1">
        <f t="shared" ca="1" si="12"/>
        <v>0.11447329908949282</v>
      </c>
      <c r="M224" s="1">
        <f t="shared" ca="1" si="13"/>
        <v>0.8263581981552417</v>
      </c>
      <c r="O224" s="2">
        <f t="shared" ca="1" si="15"/>
        <v>-2.3199208037093407E-2</v>
      </c>
      <c r="P224" s="2">
        <f t="shared" ca="1" si="15"/>
        <v>1.985321374617733E-2</v>
      </c>
    </row>
    <row r="225" spans="1:16" x14ac:dyDescent="0.25">
      <c r="A225" s="2">
        <v>1.2250728295408138E-2</v>
      </c>
      <c r="B225" s="2">
        <v>-1.2915954693354145E-2</v>
      </c>
      <c r="F225" s="1">
        <f t="shared" ca="1" si="14"/>
        <v>0.50487584755559822</v>
      </c>
      <c r="G225" s="1">
        <f t="shared" ca="1" si="14"/>
        <v>-0.88310556046867239</v>
      </c>
      <c r="I225" s="1">
        <f t="array" aca="1" ref="I225:J225" ca="1">TRANSPOSE(MMULT($D$11:$E$12,TRANSPOSE(F225:G225)))</f>
        <v>0.50487584755550663</v>
      </c>
      <c r="J225" s="1">
        <f ca="1"/>
        <v>-0.5255533747998884</v>
      </c>
      <c r="L225" s="1">
        <f t="shared" ca="1" si="12"/>
        <v>0.69317698055644228</v>
      </c>
      <c r="M225" s="1">
        <f t="shared" ca="1" si="13"/>
        <v>0.299599279596516</v>
      </c>
      <c r="O225" s="2">
        <f t="shared" ca="1" si="15"/>
        <v>9.291755706984154E-3</v>
      </c>
      <c r="P225" s="2">
        <f t="shared" ca="1" si="15"/>
        <v>-1.1878303543381834E-2</v>
      </c>
    </row>
    <row r="226" spans="1:16" x14ac:dyDescent="0.25">
      <c r="A226" s="2">
        <v>-1.0135823708347742E-2</v>
      </c>
      <c r="B226" s="2">
        <v>-1.5945398425491093E-2</v>
      </c>
      <c r="F226" s="1">
        <f t="shared" ca="1" si="14"/>
        <v>-0.37892702119227184</v>
      </c>
      <c r="G226" s="1">
        <f t="shared" ca="1" si="14"/>
        <v>0.43582073530409954</v>
      </c>
      <c r="I226" s="1">
        <f t="array" aca="1" ref="I226:J226" ca="1">TRANSPOSE(MMULT($D$11:$E$12,TRANSPOSE(F226:G226)))</f>
        <v>-0.37892702119220306</v>
      </c>
      <c r="J226" s="1">
        <f ca="1"/>
        <v>0.19618517400688915</v>
      </c>
      <c r="L226" s="1">
        <f t="shared" ca="1" si="12"/>
        <v>0.35237102894505462</v>
      </c>
      <c r="M226" s="1">
        <f t="shared" ca="1" si="13"/>
        <v>0.57776738400083461</v>
      </c>
      <c r="O226" s="2">
        <f t="shared" ca="1" si="15"/>
        <v>-7.521126564072016E-3</v>
      </c>
      <c r="P226" s="2">
        <f t="shared" ca="1" si="15"/>
        <v>3.7498350732827175E-3</v>
      </c>
    </row>
    <row r="227" spans="1:16" x14ac:dyDescent="0.25">
      <c r="A227" s="2">
        <v>-2.9585289909140511E-3</v>
      </c>
      <c r="B227" s="2">
        <v>4.842047879098017E-3</v>
      </c>
      <c r="F227" s="1">
        <f t="shared" ca="1" si="14"/>
        <v>-0.9917282766805835</v>
      </c>
      <c r="G227" s="1">
        <f t="shared" ca="1" si="14"/>
        <v>1.7607166302483281</v>
      </c>
      <c r="I227" s="1">
        <f t="array" aca="1" ref="I227:J227" ca="1">TRANSPOSE(MMULT($D$11:$E$12,TRANSPOSE(F227:G227)))</f>
        <v>-0.99172827668040353</v>
      </c>
      <c r="J227" s="1">
        <f ca="1"/>
        <v>1.0550826803315523</v>
      </c>
      <c r="L227" s="1">
        <f t="shared" ca="1" si="12"/>
        <v>0.16066504671024054</v>
      </c>
      <c r="M227" s="1">
        <f t="shared" ca="1" si="13"/>
        <v>0.85430624377404096</v>
      </c>
      <c r="O227" s="2">
        <f t="shared" ca="1" si="15"/>
        <v>-1.9178653065063271E-2</v>
      </c>
      <c r="P227" s="2">
        <f t="shared" ca="1" si="15"/>
        <v>2.2347940036002295E-2</v>
      </c>
    </row>
    <row r="228" spans="1:16" x14ac:dyDescent="0.25">
      <c r="A228" s="2">
        <v>1.9516154051869055E-2</v>
      </c>
      <c r="B228" s="2">
        <v>1.7800989688412842E-3</v>
      </c>
      <c r="F228" s="1">
        <f t="shared" ca="1" si="14"/>
        <v>-1.1288053217009999</v>
      </c>
      <c r="G228" s="1">
        <f t="shared" ca="1" si="14"/>
        <v>-0.62589176692004078</v>
      </c>
      <c r="I228" s="1">
        <f t="array" aca="1" ref="I228:J228" ca="1">TRANSPOSE(MMULT($D$11:$E$12,TRANSPOSE(F228:G228)))</f>
        <v>-1.128805321700795</v>
      </c>
      <c r="J228" s="1">
        <f ca="1"/>
        <v>-1.0962880569374942</v>
      </c>
      <c r="L228" s="1">
        <f t="shared" ca="1" si="12"/>
        <v>0.12948998360995856</v>
      </c>
      <c r="M228" s="1">
        <f t="shared" ca="1" si="13"/>
        <v>0.13647636713461983</v>
      </c>
      <c r="O228" s="2">
        <f t="shared" ca="1" si="15"/>
        <v>-2.1786316268575676E-2</v>
      </c>
      <c r="P228" s="2">
        <f t="shared" ca="1" si="15"/>
        <v>-2.4236685592575118E-2</v>
      </c>
    </row>
    <row r="229" spans="1:16" x14ac:dyDescent="0.25">
      <c r="A229" s="2">
        <v>0</v>
      </c>
      <c r="B229" s="2">
        <v>-8.6931181564472316E-3</v>
      </c>
      <c r="F229" s="1">
        <f t="shared" ca="1" si="14"/>
        <v>-0.25829873007567772</v>
      </c>
      <c r="G229" s="1">
        <f t="shared" ca="1" si="14"/>
        <v>0.46420839554434734</v>
      </c>
      <c r="I229" s="1">
        <f t="array" aca="1" ref="I229:J229" ca="1">TRANSPOSE(MMULT($D$11:$E$12,TRANSPOSE(F229:G229)))</f>
        <v>-0.25829873007563081</v>
      </c>
      <c r="J229" s="1">
        <f ca="1"/>
        <v>0.2797121918809683</v>
      </c>
      <c r="L229" s="1">
        <f t="shared" ca="1" si="12"/>
        <v>0.39808818313715966</v>
      </c>
      <c r="M229" s="1">
        <f t="shared" ca="1" si="13"/>
        <v>0.61015083810324466</v>
      </c>
      <c r="O229" s="2">
        <f t="shared" ca="1" si="15"/>
        <v>-5.2263735950356981E-3</v>
      </c>
      <c r="P229" s="2">
        <f t="shared" ca="1" si="15"/>
        <v>5.5584842243234199E-3</v>
      </c>
    </row>
    <row r="230" spans="1:16" x14ac:dyDescent="0.25">
      <c r="A230" s="2">
        <v>5.1814952534166665E-3</v>
      </c>
      <c r="B230" s="2">
        <v>1.0627851154875552E-2</v>
      </c>
      <c r="F230" s="1">
        <f t="shared" ca="1" si="14"/>
        <v>2.2254861775442929E-2</v>
      </c>
      <c r="G230" s="1">
        <f t="shared" ca="1" si="14"/>
        <v>0.48138169685216325</v>
      </c>
      <c r="I230" s="1">
        <f t="array" aca="1" ref="I230:J230" ca="1">TRANSPOSE(MMULT($D$11:$E$12,TRANSPOSE(F230:G230)))</f>
        <v>2.2254861775438891E-2</v>
      </c>
      <c r="J230" s="1">
        <f ca="1"/>
        <v>0.43130789476756748</v>
      </c>
      <c r="L230" s="1">
        <f t="shared" ca="1" si="12"/>
        <v>0.50887767248006099</v>
      </c>
      <c r="M230" s="1">
        <f t="shared" ca="1" si="13"/>
        <v>0.666877744643531</v>
      </c>
      <c r="O230" s="2">
        <f t="shared" ca="1" si="15"/>
        <v>1.1069270935131398E-4</v>
      </c>
      <c r="P230" s="2">
        <f t="shared" ca="1" si="15"/>
        <v>8.8410560951474228E-3</v>
      </c>
    </row>
    <row r="231" spans="1:16" x14ac:dyDescent="0.25">
      <c r="A231" s="2">
        <v>3.377774333084084E-2</v>
      </c>
      <c r="B231" s="2">
        <v>9.8566846153127076E-4</v>
      </c>
      <c r="F231" s="1">
        <f t="shared" ca="1" si="14"/>
        <v>-0.13921670874834469</v>
      </c>
      <c r="G231" s="1">
        <f t="shared" ca="1" si="14"/>
        <v>-0.69320688241111128</v>
      </c>
      <c r="I231" s="1">
        <f t="array" aca="1" ref="I231:J231" ca="1">TRANSPOSE(MMULT($D$11:$E$12,TRANSPOSE(F231:G231)))</f>
        <v>-0.13921670874831943</v>
      </c>
      <c r="J231" s="1">
        <f ca="1"/>
        <v>-0.67327698649053558</v>
      </c>
      <c r="L231" s="1">
        <f t="shared" ca="1" si="12"/>
        <v>0.44463945270237204</v>
      </c>
      <c r="M231" s="1">
        <f t="shared" ca="1" si="13"/>
        <v>0.25038554546529268</v>
      </c>
      <c r="O231" s="2">
        <f t="shared" ca="1" si="15"/>
        <v>-2.9610358415926188E-3</v>
      </c>
      <c r="P231" s="2">
        <f t="shared" ca="1" si="15"/>
        <v>-1.507703123261578E-2</v>
      </c>
    </row>
    <row r="232" spans="1:16" x14ac:dyDescent="0.25">
      <c r="A232" s="2">
        <v>8.4649640214753106E-4</v>
      </c>
      <c r="B232" s="2">
        <v>3.4225726283564784E-3</v>
      </c>
      <c r="F232" s="1">
        <f t="shared" ca="1" si="14"/>
        <v>-1.02150772553977</v>
      </c>
      <c r="G232" s="1">
        <f t="shared" ca="1" si="14"/>
        <v>0.33559419039206873</v>
      </c>
      <c r="I232" s="1">
        <f t="array" aca="1" ref="I232:J232" ca="1">TRANSPOSE(MMULT($D$11:$E$12,TRANSPOSE(F232:G232)))</f>
        <v>-1.0215077255395846</v>
      </c>
      <c r="J232" s="1">
        <f ca="1"/>
        <v>-0.20421804341174488</v>
      </c>
      <c r="L232" s="1">
        <f t="shared" ca="1" si="12"/>
        <v>0.15350697538589972</v>
      </c>
      <c r="M232" s="1">
        <f t="shared" ca="1" si="13"/>
        <v>0.41909155593311664</v>
      </c>
      <c r="O232" s="2">
        <f t="shared" ca="1" si="15"/>
        <v>-1.9745157639183705E-2</v>
      </c>
      <c r="P232" s="2">
        <f t="shared" ca="1" si="15"/>
        <v>-4.9202809884438805E-3</v>
      </c>
    </row>
    <row r="233" spans="1:16" x14ac:dyDescent="0.25">
      <c r="A233" s="2">
        <v>1.4948965753737026E-2</v>
      </c>
      <c r="B233" s="2">
        <v>-4.7633197040775049E-3</v>
      </c>
      <c r="F233" s="1">
        <f t="shared" ca="1" si="14"/>
        <v>-0.40834468163902676</v>
      </c>
      <c r="G233" s="1">
        <f t="shared" ca="1" si="14"/>
        <v>0.78091177406202894</v>
      </c>
      <c r="I233" s="1">
        <f t="array" aca="1" ref="I233:J233" ca="1">TRANSPOSE(MMULT($D$11:$E$12,TRANSPOSE(F233:G233)))</f>
        <v>-0.40834468163895266</v>
      </c>
      <c r="J233" s="1">
        <f ca="1"/>
        <v>0.48328905267041744</v>
      </c>
      <c r="L233" s="1">
        <f t="shared" ca="1" si="12"/>
        <v>0.34151031998904813</v>
      </c>
      <c r="M233" s="1">
        <f t="shared" ca="1" si="13"/>
        <v>0.68555474401090288</v>
      </c>
      <c r="O233" s="2">
        <f t="shared" ca="1" si="15"/>
        <v>-8.0807487142941711E-3</v>
      </c>
      <c r="P233" s="2">
        <f t="shared" ca="1" si="15"/>
        <v>9.9666281496033227E-3</v>
      </c>
    </row>
    <row r="234" spans="1:16" x14ac:dyDescent="0.25">
      <c r="A234" s="2">
        <v>1.8139963137332845E-2</v>
      </c>
      <c r="B234" s="2">
        <v>0</v>
      </c>
      <c r="F234" s="1">
        <f t="shared" ca="1" si="14"/>
        <v>-1.5431319514377282</v>
      </c>
      <c r="G234" s="1">
        <f t="shared" ca="1" si="14"/>
        <v>-0.69106142202827814</v>
      </c>
      <c r="I234" s="1">
        <f t="array" aca="1" ref="I234:J234" ca="1">TRANSPOSE(MMULT($D$11:$E$12,TRANSPOSE(F234:G234)))</f>
        <v>-1.543131951437448</v>
      </c>
      <c r="J234" s="1">
        <f ca="1"/>
        <v>-1.3549382707059583</v>
      </c>
      <c r="L234" s="1">
        <f t="shared" ca="1" si="12"/>
        <v>6.1399381871845383E-2</v>
      </c>
      <c r="M234" s="1">
        <f t="shared" ca="1" si="13"/>
        <v>8.7718612550077166E-2</v>
      </c>
      <c r="O234" s="2">
        <f t="shared" ca="1" si="15"/>
        <v>-2.9668192526112854E-2</v>
      </c>
      <c r="P234" s="2">
        <f t="shared" ca="1" si="15"/>
        <v>-2.983735830250079E-2</v>
      </c>
    </row>
    <row r="235" spans="1:16" x14ac:dyDescent="0.25">
      <c r="A235" s="2">
        <v>1.1540874742977582E-2</v>
      </c>
      <c r="B235" s="2">
        <v>3.3906813019797068E-2</v>
      </c>
      <c r="F235" s="1">
        <f t="shared" ca="1" si="14"/>
        <v>1.6966563356031112</v>
      </c>
      <c r="G235" s="1">
        <f t="shared" ca="1" si="14"/>
        <v>0.40891314732468997</v>
      </c>
      <c r="I235" s="1">
        <f t="array" aca="1" ref="I235:J235" ca="1">TRANSPOSE(MMULT($D$11:$E$12,TRANSPOSE(F235:G235)))</f>
        <v>1.6966563356028033</v>
      </c>
      <c r="J235" s="1">
        <f ca="1"/>
        <v>1.1832378300691859</v>
      </c>
      <c r="L235" s="1">
        <f t="shared" ca="1" si="12"/>
        <v>0.95511917382675815</v>
      </c>
      <c r="M235" s="1">
        <f t="shared" ca="1" si="13"/>
        <v>0.88164254794938923</v>
      </c>
      <c r="O235" s="2">
        <f t="shared" ca="1" si="15"/>
        <v>3.1963400874726731E-2</v>
      </c>
      <c r="P235" s="2">
        <f t="shared" ca="1" si="15"/>
        <v>2.5122942767739891E-2</v>
      </c>
    </row>
    <row r="236" spans="1:16" x14ac:dyDescent="0.25">
      <c r="A236" s="2">
        <v>1.0961086412069571E-2</v>
      </c>
      <c r="B236" s="2">
        <v>1.7131930781356674E-2</v>
      </c>
      <c r="F236" s="1">
        <f t="shared" ca="1" si="14"/>
        <v>0.13219437183990582</v>
      </c>
      <c r="G236" s="1">
        <f t="shared" ca="1" si="14"/>
        <v>-0.22422059248159831</v>
      </c>
      <c r="I236" s="1">
        <f t="array" aca="1" ref="I236:J236" ca="1">TRANSPOSE(MMULT($D$11:$E$12,TRANSPOSE(F236:G236)))</f>
        <v>0.13219437183988181</v>
      </c>
      <c r="J236" s="1">
        <f ca="1"/>
        <v>-0.13148745637145351</v>
      </c>
      <c r="L236" s="1">
        <f t="shared" ca="1" si="12"/>
        <v>0.5525847236623469</v>
      </c>
      <c r="M236" s="1">
        <f t="shared" ca="1" si="13"/>
        <v>0.44769485439485102</v>
      </c>
      <c r="O236" s="2">
        <f t="shared" ca="1" si="15"/>
        <v>2.202109364594953E-3</v>
      </c>
      <c r="P236" s="2">
        <f t="shared" ca="1" si="15"/>
        <v>-3.3454119478249075E-3</v>
      </c>
    </row>
    <row r="237" spans="1:16" x14ac:dyDescent="0.25">
      <c r="A237" s="2">
        <v>-9.4732556209117316E-3</v>
      </c>
      <c r="B237" s="2">
        <v>-5.1126008886257538E-3</v>
      </c>
      <c r="F237" s="1">
        <f t="shared" ca="1" si="14"/>
        <v>-1.4044420494291701</v>
      </c>
      <c r="G237" s="1">
        <f t="shared" ca="1" si="14"/>
        <v>7.6693941374530783E-2</v>
      </c>
      <c r="I237" s="1">
        <f t="array" aca="1" ref="I237:J237" ca="1">TRANSPOSE(MMULT($D$11:$E$12,TRANSPOSE(F237:G237)))</f>
        <v>-1.4044420494289152</v>
      </c>
      <c r="J237" s="1">
        <f ca="1"/>
        <v>-0.6168019093476621</v>
      </c>
      <c r="L237" s="1">
        <f t="shared" ca="1" si="12"/>
        <v>8.0093628402267858E-2</v>
      </c>
      <c r="M237" s="1">
        <f t="shared" ca="1" si="13"/>
        <v>0.26868269622470226</v>
      </c>
      <c r="O237" s="2">
        <f t="shared" ca="1" si="15"/>
        <v>-2.7029847396097921E-2</v>
      </c>
      <c r="P237" s="2">
        <f t="shared" ca="1" si="15"/>
        <v>-1.3854150266322897E-2</v>
      </c>
    </row>
    <row r="238" spans="1:16" x14ac:dyDescent="0.25">
      <c r="A238" s="2">
        <v>3.8870076278084286E-3</v>
      </c>
      <c r="B238" s="2">
        <v>4.2122744595010303E-3</v>
      </c>
      <c r="F238" s="1">
        <f t="shared" ca="1" si="14"/>
        <v>0.10041584596272077</v>
      </c>
      <c r="G238" s="1">
        <f t="shared" ca="1" si="14"/>
        <v>0.45513904685488815</v>
      </c>
      <c r="I238" s="1">
        <f t="array" aca="1" ref="I238:J238" ca="1">TRANSPOSE(MMULT($D$11:$E$12,TRANSPOSE(F238:G238)))</f>
        <v>0.10041584596270255</v>
      </c>
      <c r="J238" s="1">
        <f ca="1"/>
        <v>0.44644058038437068</v>
      </c>
      <c r="L238" s="1">
        <f t="shared" ca="1" si="12"/>
        <v>0.53999290495436414</v>
      </c>
      <c r="M238" s="1">
        <f t="shared" ca="1" si="13"/>
        <v>0.67236048740487986</v>
      </c>
      <c r="O238" s="2">
        <f t="shared" ca="1" si="15"/>
        <v>1.5975756691139968E-3</v>
      </c>
      <c r="P238" s="2">
        <f t="shared" ca="1" si="15"/>
        <v>9.168731135995381E-3</v>
      </c>
    </row>
    <row r="239" spans="1:16" x14ac:dyDescent="0.25">
      <c r="A239" s="2">
        <v>1.1348388739534299E-2</v>
      </c>
      <c r="B239" s="2">
        <v>2.2492980429881129E-3</v>
      </c>
      <c r="F239" s="1">
        <f t="shared" ca="1" si="14"/>
        <v>-1.7004416156030149</v>
      </c>
      <c r="G239" s="1">
        <f t="shared" ca="1" si="14"/>
        <v>-4.6847354679207777E-4</v>
      </c>
      <c r="I239" s="1">
        <f t="array" aca="1" ref="I239:J239" ca="1">TRANSPOSE(MMULT($D$11:$E$12,TRANSPOSE(F239:G239)))</f>
        <v>-1.7004416156027062</v>
      </c>
      <c r="J239" s="1">
        <f ca="1"/>
        <v>-0.82831660956094566</v>
      </c>
      <c r="L239" s="1">
        <f t="shared" ca="1" si="12"/>
        <v>4.4523944806582109E-2</v>
      </c>
      <c r="M239" s="1">
        <f t="shared" ca="1" si="13"/>
        <v>0.20374560940296693</v>
      </c>
      <c r="O239" s="2">
        <f t="shared" ca="1" si="15"/>
        <v>-3.2660747718264944E-2</v>
      </c>
      <c r="P239" s="2">
        <f t="shared" ca="1" si="15"/>
        <v>-1.8434175900065797E-2</v>
      </c>
    </row>
    <row r="240" spans="1:16" x14ac:dyDescent="0.25">
      <c r="A240" s="2">
        <v>-5.3331848734995105E-4</v>
      </c>
      <c r="B240" s="2">
        <v>-7.0647770448129714E-3</v>
      </c>
      <c r="F240" s="1">
        <f t="shared" ca="1" si="14"/>
        <v>0.88023024840379649</v>
      </c>
      <c r="G240" s="1">
        <f t="shared" ca="1" si="14"/>
        <v>0.10567168159050744</v>
      </c>
      <c r="I240" s="1">
        <f t="array" aca="1" ref="I240:J240" ca="1">TRANSPOSE(MMULT($D$11:$E$12,TRANSPOSE(F240:G240)))</f>
        <v>0.88023024840363673</v>
      </c>
      <c r="J240" s="1">
        <f ca="1"/>
        <v>0.52086568784885867</v>
      </c>
      <c r="L240" s="1">
        <f t="shared" ca="1" si="12"/>
        <v>0.81063270490201744</v>
      </c>
      <c r="M240" s="1">
        <f t="shared" ca="1" si="13"/>
        <v>0.69876983025619166</v>
      </c>
      <c r="O240" s="2">
        <f t="shared" ca="1" si="15"/>
        <v>1.643225001237647E-2</v>
      </c>
      <c r="P240" s="2">
        <f t="shared" ca="1" si="15"/>
        <v>1.0780292411111041E-2</v>
      </c>
    </row>
    <row r="241" spans="1:16" x14ac:dyDescent="0.25">
      <c r="A241" s="2">
        <v>1.2525235648064605E-2</v>
      </c>
      <c r="B241" s="2">
        <v>2.3664671744949725E-2</v>
      </c>
      <c r="F241" s="1">
        <f t="shared" ca="1" si="14"/>
        <v>-0.81586066918338873</v>
      </c>
      <c r="G241" s="1">
        <f t="shared" ca="1" si="14"/>
        <v>0.11599089951916225</v>
      </c>
      <c r="I241" s="1">
        <f t="array" aca="1" ref="I241:J241" ca="1">TRANSPOSE(MMULT($D$11:$E$12,TRANSPOSE(F241:G241)))</f>
        <v>-0.81586066918324063</v>
      </c>
      <c r="J241" s="1">
        <f ca="1"/>
        <v>-0.29590993766556956</v>
      </c>
      <c r="L241" s="1">
        <f t="shared" ca="1" si="12"/>
        <v>0.20728991462824764</v>
      </c>
      <c r="M241" s="1">
        <f t="shared" ca="1" si="13"/>
        <v>0.38364943080146241</v>
      </c>
      <c r="O241" s="2">
        <f t="shared" ca="1" si="15"/>
        <v>-1.5833063811283448E-2</v>
      </c>
      <c r="P241" s="2">
        <f t="shared" ca="1" si="15"/>
        <v>-6.905727984163312E-3</v>
      </c>
    </row>
    <row r="242" spans="1:16" x14ac:dyDescent="0.25">
      <c r="A242" s="2">
        <v>1.8548695869156914E-2</v>
      </c>
      <c r="B242" s="2">
        <v>-4.8733759598176907E-3</v>
      </c>
      <c r="F242" s="1">
        <f t="shared" ca="1" si="14"/>
        <v>-0.40386644248319536</v>
      </c>
      <c r="G242" s="1">
        <f t="shared" ca="1" si="14"/>
        <v>-0.38597160967815003</v>
      </c>
      <c r="I242" s="1">
        <f t="array" aca="1" ref="I242:J242" ca="1">TRANSPOSE(MMULT($D$11:$E$12,TRANSPOSE(F242:G242)))</f>
        <v>-0.40386644248312203</v>
      </c>
      <c r="J242" s="1">
        <f ca="1"/>
        <v>-0.53376827924525805</v>
      </c>
      <c r="L242" s="1">
        <f t="shared" ca="1" si="12"/>
        <v>0.34315546713199746</v>
      </c>
      <c r="M242" s="1">
        <f t="shared" ca="1" si="13"/>
        <v>0.29675093133864056</v>
      </c>
      <c r="O242" s="2">
        <f t="shared" ca="1" si="15"/>
        <v>-7.995557649215038E-3</v>
      </c>
      <c r="P242" s="2">
        <f t="shared" ca="1" si="15"/>
        <v>-1.2056184668904568E-2</v>
      </c>
    </row>
    <row r="243" spans="1:16" x14ac:dyDescent="0.25">
      <c r="A243" s="2">
        <v>-2.442022527168455E-3</v>
      </c>
      <c r="B243" s="2">
        <v>3.9153450084702139E-3</v>
      </c>
      <c r="F243" s="1">
        <f t="shared" ca="1" si="14"/>
        <v>-0.88376312469683316</v>
      </c>
      <c r="G243" s="1">
        <f t="shared" ca="1" si="14"/>
        <v>0.78631372570003544</v>
      </c>
      <c r="I243" s="1">
        <f t="array" aca="1" ref="I243:J243" ca="1">TRANSPOSE(MMULT($D$11:$E$12,TRANSPOSE(F243:G243)))</f>
        <v>-0.88376312469667273</v>
      </c>
      <c r="J243" s="1">
        <f ca="1"/>
        <v>0.25653677110760642</v>
      </c>
      <c r="L243" s="1">
        <f t="shared" ca="1" si="12"/>
        <v>0.18841204813617926</v>
      </c>
      <c r="M243" s="1">
        <f t="shared" ca="1" si="13"/>
        <v>0.60123180454266012</v>
      </c>
      <c r="O243" s="2">
        <f t="shared" ca="1" si="15"/>
        <v>-1.7124795294437101E-2</v>
      </c>
      <c r="P243" s="2">
        <f t="shared" ca="1" si="15"/>
        <v>5.0566561191952904E-3</v>
      </c>
    </row>
    <row r="244" spans="1:16" x14ac:dyDescent="0.25">
      <c r="A244" s="2">
        <v>-1.6295403034447542E-2</v>
      </c>
      <c r="B244" s="2">
        <v>6.265087086942178E-4</v>
      </c>
      <c r="F244" s="1">
        <f t="shared" ca="1" si="14"/>
        <v>1.3341824419203017</v>
      </c>
      <c r="G244" s="1">
        <f t="shared" ca="1" si="14"/>
        <v>0.19767736429824559</v>
      </c>
      <c r="I244" s="1">
        <f t="array" aca="1" ref="I244:J244" ca="1">TRANSPOSE(MMULT($D$11:$E$12,TRANSPOSE(F244:G244)))</f>
        <v>1.3341824419200594</v>
      </c>
      <c r="J244" s="1">
        <f ca="1"/>
        <v>0.82224917854445678</v>
      </c>
      <c r="L244" s="1">
        <f t="shared" ca="1" si="12"/>
        <v>0.9089279638172918</v>
      </c>
      <c r="M244" s="1">
        <f t="shared" ca="1" si="13"/>
        <v>0.79453245270291895</v>
      </c>
      <c r="O244" s="2">
        <f t="shared" ca="1" si="15"/>
        <v>2.5067936833685037E-2</v>
      </c>
      <c r="P244" s="2">
        <f t="shared" ca="1" si="15"/>
        <v>1.730628853138479E-2</v>
      </c>
    </row>
    <row r="245" spans="1:16" x14ac:dyDescent="0.25">
      <c r="A245" s="2">
        <v>1.2768691347899498E-2</v>
      </c>
      <c r="B245" s="2">
        <v>1.0518118700294638E-2</v>
      </c>
      <c r="F245" s="1">
        <f t="shared" ca="1" si="14"/>
        <v>0.50081199502599349</v>
      </c>
      <c r="G245" s="1">
        <f t="shared" ca="1" si="14"/>
        <v>-0.75255533405518182</v>
      </c>
      <c r="I245" s="1">
        <f t="array" aca="1" ref="I245:J245" ca="1">TRANSPOSE(MMULT($D$11:$E$12,TRANSPOSE(F245:G245)))</f>
        <v>0.50081199502590257</v>
      </c>
      <c r="J245" s="1">
        <f ca="1"/>
        <v>-0.41350026192190381</v>
      </c>
      <c r="L245" s="1">
        <f t="shared" ca="1" si="12"/>
        <v>0.69174827851225706</v>
      </c>
      <c r="M245" s="1">
        <f t="shared" ca="1" si="13"/>
        <v>0.33962006528215327</v>
      </c>
      <c r="O245" s="2">
        <f t="shared" ca="1" si="15"/>
        <v>9.2144476594961649E-3</v>
      </c>
      <c r="P245" s="2">
        <f t="shared" ca="1" si="15"/>
        <v>-9.4519656632989953E-3</v>
      </c>
    </row>
    <row r="246" spans="1:16" x14ac:dyDescent="0.25">
      <c r="A246" s="2">
        <v>-5.8252202609565399E-4</v>
      </c>
      <c r="B246" s="2">
        <v>5.4669705234058419E-4</v>
      </c>
      <c r="F246" s="1">
        <f t="shared" ca="1" si="14"/>
        <v>1.1132951526952628</v>
      </c>
      <c r="G246" s="1">
        <f t="shared" ca="1" si="14"/>
        <v>0.18371350842819317</v>
      </c>
      <c r="I246" s="1">
        <f t="array" aca="1" ref="I246:J246" ca="1">TRANSPOSE(MMULT($D$11:$E$12,TRANSPOSE(F246:G246)))</f>
        <v>1.1132951526950607</v>
      </c>
      <c r="J246" s="1">
        <f ca="1"/>
        <v>0.70250703316287166</v>
      </c>
      <c r="L246" s="1">
        <f t="shared" ca="1" si="12"/>
        <v>0.86720915620440098</v>
      </c>
      <c r="M246" s="1">
        <f t="shared" ca="1" si="13"/>
        <v>0.7588184914216779</v>
      </c>
      <c r="O246" s="2">
        <f t="shared" ca="1" si="15"/>
        <v>2.0865922877592393E-2</v>
      </c>
      <c r="P246" s="2">
        <f t="shared" ca="1" si="15"/>
        <v>1.4713456474161245E-2</v>
      </c>
    </row>
    <row r="247" spans="1:16" x14ac:dyDescent="0.25">
      <c r="A247" s="2">
        <v>-2.1009604963741289E-2</v>
      </c>
      <c r="B247" s="2">
        <v>-1.7199350881345051E-2</v>
      </c>
      <c r="F247" s="1">
        <f t="shared" ca="1" si="14"/>
        <v>1.16901274814737</v>
      </c>
      <c r="G247" s="1">
        <f t="shared" ca="1" si="14"/>
        <v>-0.8386240699823313</v>
      </c>
      <c r="I247" s="1">
        <f t="array" aca="1" ref="I247:J247" ca="1">TRANSPOSE(MMULT($D$11:$E$12,TRANSPOSE(F247:G247)))</f>
        <v>1.1690127481471577</v>
      </c>
      <c r="J247" s="1">
        <f ca="1"/>
        <v>-0.16334655768897954</v>
      </c>
      <c r="L247" s="1">
        <f t="shared" ca="1" si="12"/>
        <v>0.87880075239632527</v>
      </c>
      <c r="M247" s="1">
        <f t="shared" ca="1" si="13"/>
        <v>0.43512278919975433</v>
      </c>
      <c r="O247" s="2">
        <f t="shared" ca="1" si="15"/>
        <v>2.1925857627622988E-2</v>
      </c>
      <c r="P247" s="2">
        <f t="shared" ca="1" si="15"/>
        <v>-4.0352718041618248E-3</v>
      </c>
    </row>
    <row r="248" spans="1:16" x14ac:dyDescent="0.25">
      <c r="A248" s="2">
        <v>3.7695550476751424E-3</v>
      </c>
      <c r="B248" s="2">
        <v>3.367567249471641E-3</v>
      </c>
      <c r="F248" s="1">
        <f t="shared" ca="1" si="14"/>
        <v>0.51122497558972613</v>
      </c>
      <c r="G248" s="1">
        <f t="shared" ca="1" si="14"/>
        <v>-0.11727490661554311</v>
      </c>
      <c r="I248" s="1">
        <f t="array" aca="1" ref="I248:J248" ca="1">TRANSPOSE(MMULT($D$11:$E$12,TRANSPOSE(F248:G248)))</f>
        <v>0.51122497558963331</v>
      </c>
      <c r="J248" s="1">
        <f ca="1"/>
        <v>0.14646801470192072</v>
      </c>
      <c r="L248" s="1">
        <f t="shared" ca="1" si="12"/>
        <v>0.69540323398651394</v>
      </c>
      <c r="M248" s="1">
        <f t="shared" ca="1" si="13"/>
        <v>0.55822403092355022</v>
      </c>
      <c r="O248" s="2">
        <f t="shared" ca="1" si="15"/>
        <v>9.4125373268864349E-3</v>
      </c>
      <c r="P248" s="2">
        <f t="shared" ca="1" si="15"/>
        <v>2.6732864276139984E-3</v>
      </c>
    </row>
    <row r="249" spans="1:16" x14ac:dyDescent="0.25">
      <c r="A249" s="2">
        <v>1.6585323424611279E-3</v>
      </c>
      <c r="B249" s="2">
        <v>-6.4490049683009138E-3</v>
      </c>
      <c r="F249" s="1">
        <f t="shared" ca="1" si="14"/>
        <v>0.9723460914533939</v>
      </c>
      <c r="G249" s="1">
        <f t="shared" ca="1" si="14"/>
        <v>-1.4902986579385731</v>
      </c>
      <c r="I249" s="1">
        <f t="array" aca="1" ref="I249:J249" ca="1">TRANSPOSE(MMULT($D$11:$E$12,TRANSPOSE(F249:G249)))</f>
        <v>0.97234609145321738</v>
      </c>
      <c r="J249" s="1">
        <f ca="1"/>
        <v>-0.82831743783239853</v>
      </c>
      <c r="L249" s="1">
        <f t="shared" ca="1" si="12"/>
        <v>0.83456079945498929</v>
      </c>
      <c r="M249" s="1">
        <f t="shared" ca="1" si="13"/>
        <v>0.20374537492822709</v>
      </c>
      <c r="O249" s="2">
        <f t="shared" ca="1" si="15"/>
        <v>1.8184600993864142E-2</v>
      </c>
      <c r="P249" s="2">
        <f t="shared" ca="1" si="15"/>
        <v>-1.843419383501067E-2</v>
      </c>
    </row>
    <row r="250" spans="1:16" x14ac:dyDescent="0.25">
      <c r="A250" s="2">
        <v>-6.3012280529963459E-3</v>
      </c>
      <c r="B250" s="2">
        <v>1.0099788040404395E-2</v>
      </c>
      <c r="F250" s="1">
        <f t="shared" ca="1" si="14"/>
        <v>0.42466314380064057</v>
      </c>
      <c r="G250" s="1">
        <f t="shared" ca="1" si="14"/>
        <v>-0.1356423354403932</v>
      </c>
      <c r="I250" s="1">
        <f t="array" aca="1" ref="I250:J250" ca="1">TRANSPOSE(MMULT($D$11:$E$12,TRANSPOSE(F250:G250)))</f>
        <v>0.42466314380056347</v>
      </c>
      <c r="J250" s="1">
        <f ca="1"/>
        <v>8.8279574421195411E-2</v>
      </c>
      <c r="L250" s="1">
        <f t="shared" ca="1" si="12"/>
        <v>0.66445887249686242</v>
      </c>
      <c r="M250" s="1">
        <f t="shared" ca="1" si="13"/>
        <v>0.53517276359232002</v>
      </c>
      <c r="O250" s="2">
        <f t="shared" ca="1" si="15"/>
        <v>7.7658421887514591E-3</v>
      </c>
      <c r="P250" s="2">
        <f t="shared" ca="1" si="15"/>
        <v>1.4133052168305092E-3</v>
      </c>
    </row>
    <row r="251" spans="1:16" x14ac:dyDescent="0.25">
      <c r="A251" s="2">
        <v>1.5898110102177117E-2</v>
      </c>
      <c r="B251" s="2">
        <v>1.4580127830164538E-2</v>
      </c>
      <c r="F251" s="1">
        <f t="shared" ca="1" si="14"/>
        <v>-2.0933234993283687</v>
      </c>
      <c r="G251" s="1">
        <f t="shared" ca="1" si="14"/>
        <v>0.56727815114607294</v>
      </c>
      <c r="I251" s="1">
        <f t="array" aca="1" ref="I251:J251" ca="1">TRANSPOSE(MMULT($D$11:$E$12,TRANSPOSE(F251:G251)))</f>
        <v>-2.0933234993279886</v>
      </c>
      <c r="J251" s="1">
        <f ca="1"/>
        <v>-0.52369243626777784</v>
      </c>
      <c r="L251" s="1">
        <f t="shared" ca="1" si="12"/>
        <v>1.8160143148912847E-2</v>
      </c>
      <c r="M251" s="1">
        <f t="shared" ca="1" si="13"/>
        <v>0.3002462386412954</v>
      </c>
      <c r="O251" s="2">
        <f t="shared" ca="1" si="15"/>
        <v>-4.013467328592403E-2</v>
      </c>
      <c r="P251" s="2">
        <f t="shared" ca="1" si="15"/>
        <v>-1.1838007780622594E-2</v>
      </c>
    </row>
    <row r="252" spans="1:16" x14ac:dyDescent="0.25">
      <c r="A252" s="2">
        <v>6.6059802897795632E-3</v>
      </c>
      <c r="B252" s="2">
        <v>-3.051884362664614E-3</v>
      </c>
      <c r="F252" s="1">
        <f t="shared" ca="1" si="14"/>
        <v>0.1389512536095151</v>
      </c>
      <c r="G252" s="1">
        <f t="shared" ca="1" si="14"/>
        <v>1.4977805317192545</v>
      </c>
      <c r="I252" s="1">
        <f t="array" aca="1" ref="I252:J252" ca="1">TRANSPOSE(MMULT($D$11:$E$12,TRANSPOSE(F252:G252)))</f>
        <v>0.13895125360948987</v>
      </c>
      <c r="J252" s="1">
        <f ca="1"/>
        <v>1.3759187279242888</v>
      </c>
      <c r="L252" s="1">
        <f t="shared" ca="1" si="12"/>
        <v>0.55525566537774762</v>
      </c>
      <c r="M252" s="1">
        <f t="shared" ca="1" si="13"/>
        <v>0.91557660181103051</v>
      </c>
      <c r="O252" s="2">
        <f t="shared" ca="1" si="15"/>
        <v>2.3306478223540225E-3</v>
      </c>
      <c r="P252" s="2">
        <f t="shared" ca="1" si="15"/>
        <v>2.9295151367988961E-2</v>
      </c>
    </row>
    <row r="253" spans="1:16" x14ac:dyDescent="0.25">
      <c r="A253" s="2">
        <v>2.1887248873900991E-2</v>
      </c>
      <c r="B253" s="2">
        <v>-3.791473736262247E-3</v>
      </c>
      <c r="F253" s="1">
        <f t="shared" ca="1" si="14"/>
        <v>1.0568117034494966</v>
      </c>
      <c r="G253" s="1">
        <f t="shared" ca="1" si="14"/>
        <v>-0.27379053796284936</v>
      </c>
      <c r="I253" s="1">
        <f t="array" aca="1" ref="I253:J253" ca="1">TRANSPOSE(MMULT($D$11:$E$12,TRANSPOSE(F253:G253)))</f>
        <v>1.0568117034493048</v>
      </c>
      <c r="J253" s="1">
        <f ca="1"/>
        <v>0.27539040877191179</v>
      </c>
      <c r="L253" s="1">
        <f t="shared" ca="1" si="12"/>
        <v>0.85470123403202991</v>
      </c>
      <c r="M253" s="1">
        <f t="shared" ca="1" si="13"/>
        <v>0.60849184399440648</v>
      </c>
      <c r="O253" s="2">
        <f t="shared" ca="1" si="15"/>
        <v>1.9791419030622915E-2</v>
      </c>
      <c r="P253" s="2">
        <f t="shared" ca="1" si="15"/>
        <v>5.464902655746875E-3</v>
      </c>
    </row>
    <row r="254" spans="1:16" x14ac:dyDescent="0.25">
      <c r="A254" s="2">
        <v>-6.5313135857249334E-3</v>
      </c>
      <c r="B254" s="2">
        <v>-1.739046110996921E-2</v>
      </c>
      <c r="F254" s="1">
        <f t="shared" ca="1" si="14"/>
        <v>0.19257630589049901</v>
      </c>
      <c r="G254" s="1">
        <f t="shared" ca="1" si="14"/>
        <v>1.1886305306861622</v>
      </c>
      <c r="I254" s="1">
        <f t="array" aca="1" ref="I254:J254" ca="1">TRANSPOSE(MMULT($D$11:$E$12,TRANSPOSE(F254:G254)))</f>
        <v>0.19257630589046407</v>
      </c>
      <c r="J254" s="1">
        <f ca="1"/>
        <v>1.1319943129388403</v>
      </c>
      <c r="L254" s="1">
        <f t="shared" ca="1" si="12"/>
        <v>0.576354598637705</v>
      </c>
      <c r="M254" s="1">
        <f t="shared" ca="1" si="13"/>
        <v>0.87118158731392326</v>
      </c>
      <c r="O254" s="2">
        <f t="shared" ca="1" si="15"/>
        <v>3.3507754126352635E-3</v>
      </c>
      <c r="P254" s="2">
        <f t="shared" ca="1" si="15"/>
        <v>2.4013343190105486E-2</v>
      </c>
    </row>
    <row r="255" spans="1:16" x14ac:dyDescent="0.25">
      <c r="A255" s="2">
        <v>-5.3589422656846542E-3</v>
      </c>
      <c r="B255" s="2">
        <v>1.2006720149248805E-2</v>
      </c>
      <c r="F255" s="1">
        <f t="shared" ca="1" si="14"/>
        <v>0.20878908242124791</v>
      </c>
      <c r="G255" s="1">
        <f t="shared" ca="1" si="14"/>
        <v>0.83009921268166231</v>
      </c>
      <c r="I255" s="1">
        <f t="array" aca="1" ref="I255:J255" ca="1">TRANSPOSE(MMULT($D$11:$E$12,TRANSPOSE(F255:G255)))</f>
        <v>0.20878908242121003</v>
      </c>
      <c r="J255" s="1">
        <f ca="1"/>
        <v>0.82672158697954767</v>
      </c>
      <c r="L255" s="1">
        <f t="shared" ca="1" si="12"/>
        <v>0.58269355276022572</v>
      </c>
      <c r="M255" s="1">
        <f t="shared" ca="1" si="13"/>
        <v>0.79580255848507353</v>
      </c>
      <c r="O255" s="2">
        <f t="shared" ca="1" si="15"/>
        <v>3.6591965693629019E-3</v>
      </c>
      <c r="P255" s="2">
        <f t="shared" ca="1" si="15"/>
        <v>1.7403131659813335E-2</v>
      </c>
    </row>
    <row r="256" spans="1:16" x14ac:dyDescent="0.25">
      <c r="A256" s="2">
        <v>5.0454039062866147E-3</v>
      </c>
      <c r="B256" s="2">
        <v>-4.8961057883605023E-3</v>
      </c>
      <c r="F256" s="1">
        <f t="shared" ca="1" si="14"/>
        <v>0.1717167763981747</v>
      </c>
      <c r="G256" s="1">
        <f t="shared" ca="1" si="14"/>
        <v>-0.59507765937929724</v>
      </c>
      <c r="I256" s="1">
        <f t="array" aca="1" ref="I256:J256" ca="1">TRANSPOSE(MMULT($D$11:$E$12,TRANSPOSE(F256:G256)))</f>
        <v>0.17171677639814353</v>
      </c>
      <c r="J256" s="1">
        <f ca="1"/>
        <v>-0.43617741251261499</v>
      </c>
      <c r="L256" s="1">
        <f t="shared" ca="1" si="12"/>
        <v>0.56816990196657247</v>
      </c>
      <c r="M256" s="1">
        <f t="shared" ca="1" si="13"/>
        <v>0.33135400735552756</v>
      </c>
      <c r="O256" s="2">
        <f t="shared" ca="1" si="15"/>
        <v>2.9539574954441368E-3</v>
      </c>
      <c r="P256" s="2">
        <f t="shared" ca="1" si="15"/>
        <v>-9.9430044937016803E-3</v>
      </c>
    </row>
    <row r="257" spans="1:16" x14ac:dyDescent="0.25">
      <c r="A257" s="2">
        <v>9.6818408766642296E-3</v>
      </c>
      <c r="B257" s="2">
        <v>9.2566044437507738E-3</v>
      </c>
      <c r="F257" s="1">
        <f t="shared" ca="1" si="14"/>
        <v>1.0848976015389975</v>
      </c>
      <c r="G257" s="1">
        <f t="shared" ca="1" si="14"/>
        <v>0.35160480601979832</v>
      </c>
      <c r="I257" s="1">
        <f t="array" aca="1" ref="I257:J257" ca="1">TRANSPOSE(MMULT($D$11:$E$12,TRANSPOSE(F257:G257)))</f>
        <v>1.0848976015388005</v>
      </c>
      <c r="J257" s="1">
        <f ca="1"/>
        <v>0.83532891370492712</v>
      </c>
      <c r="L257" s="1">
        <f t="shared" ca="1" si="12"/>
        <v>0.86101649479900066</v>
      </c>
      <c r="M257" s="1">
        <f t="shared" ca="1" si="13"/>
        <v>0.79823372894886568</v>
      </c>
      <c r="O257" s="2">
        <f t="shared" ca="1" si="15"/>
        <v>2.0325706613016317E-2</v>
      </c>
      <c r="P257" s="2">
        <f t="shared" ca="1" si="15"/>
        <v>1.7589510086468734E-2</v>
      </c>
    </row>
    <row r="258" spans="1:16" x14ac:dyDescent="0.25">
      <c r="A258" s="2">
        <v>6.3050244926181991E-3</v>
      </c>
      <c r="B258" s="2">
        <v>-6.3087063696846612E-3</v>
      </c>
      <c r="F258" s="1">
        <f t="shared" ca="1" si="14"/>
        <v>-5.1475512859767994E-2</v>
      </c>
      <c r="G258" s="1">
        <f t="shared" ca="1" si="14"/>
        <v>0.89720918625110468</v>
      </c>
      <c r="I258" s="1">
        <f t="array" aca="1" ref="I258:J258" ca="1">TRANSPOSE(MMULT($D$11:$E$12,TRANSPOSE(F258:G258)))</f>
        <v>-5.1475512859758647E-2</v>
      </c>
      <c r="J258" s="1">
        <f ca="1"/>
        <v>0.75862306408614322</v>
      </c>
      <c r="L258" s="1">
        <f t="shared" ca="1" si="12"/>
        <v>0.47947330694195617</v>
      </c>
      <c r="M258" s="1">
        <f t="shared" ca="1" si="13"/>
        <v>0.77596096414204063</v>
      </c>
      <c r="O258" s="2">
        <f t="shared" ca="1" si="15"/>
        <v>-1.2919052594682534E-3</v>
      </c>
      <c r="P258" s="2">
        <f t="shared" ca="1" si="15"/>
        <v>1.5928562846594614E-2</v>
      </c>
    </row>
    <row r="259" spans="1:16" x14ac:dyDescent="0.25">
      <c r="A259" s="2">
        <v>7.7006802743396843E-3</v>
      </c>
      <c r="B259" s="2">
        <v>0</v>
      </c>
      <c r="F259" s="1">
        <f t="shared" ca="1" si="14"/>
        <v>-0.10181262619457709</v>
      </c>
      <c r="G259" s="1">
        <f t="shared" ca="1" si="14"/>
        <v>-9.2692796294386537E-2</v>
      </c>
      <c r="I259" s="1">
        <f t="array" aca="1" ref="I259:J259" ca="1">TRANSPOSE(MMULT($D$11:$E$12,TRANSPOSE(F259:G259)))</f>
        <v>-0.10181262619455861</v>
      </c>
      <c r="J259" s="1">
        <f ca="1"/>
        <v>-0.13053469719481051</v>
      </c>
      <c r="L259" s="1">
        <f t="shared" ca="1" si="12"/>
        <v>0.45945270173907493</v>
      </c>
      <c r="M259" s="1">
        <f t="shared" ca="1" si="13"/>
        <v>0.44807170229190674</v>
      </c>
      <c r="O259" s="2">
        <f t="shared" ca="1" si="15"/>
        <v>-2.2494852699993018E-3</v>
      </c>
      <c r="P259" s="2">
        <f t="shared" ca="1" si="15"/>
        <v>-3.3247814127017761E-3</v>
      </c>
    </row>
    <row r="260" spans="1:16" x14ac:dyDescent="0.25">
      <c r="A260" s="2">
        <v>1.0875890014482833E-2</v>
      </c>
      <c r="B260" s="2">
        <v>1.4719307367624663E-2</v>
      </c>
      <c r="F260" s="1">
        <f t="shared" ref="F260:G263" ca="1" si="16">NORMSINV(RAND())</f>
        <v>-3.0207033397085456E-2</v>
      </c>
      <c r="G260" s="1">
        <f t="shared" ca="1" si="16"/>
        <v>-1.7389501126590834</v>
      </c>
      <c r="I260" s="1">
        <f t="array" aca="1" ref="I260:J260" ca="1">TRANSPOSE(MMULT($D$11:$E$12,TRANSPOSE(F260:G260)))</f>
        <v>-3.0207033397079974E-2</v>
      </c>
      <c r="J260" s="1">
        <f ca="1"/>
        <v>-1.5336279782439124</v>
      </c>
      <c r="L260" s="1">
        <f t="shared" ca="1" si="12"/>
        <v>0.48795096962641532</v>
      </c>
      <c r="M260" s="1">
        <f t="shared" ca="1" si="13"/>
        <v>6.2560600614789602E-2</v>
      </c>
      <c r="O260" s="2">
        <f t="shared" ref="O260:P263" ca="1" si="17">NORMINV(L260,D$16,D$17)</f>
        <v>-8.8730774803783084E-4</v>
      </c>
      <c r="P260" s="2">
        <f t="shared" ca="1" si="17"/>
        <v>-3.3706609187591045E-2</v>
      </c>
    </row>
    <row r="261" spans="1:16" x14ac:dyDescent="0.25">
      <c r="A261" s="2">
        <v>1.2300007104788473E-2</v>
      </c>
      <c r="B261" s="2">
        <v>-1.3836629855368666E-2</v>
      </c>
      <c r="F261" s="1">
        <f t="shared" ca="1" si="16"/>
        <v>-0.8199751869561086</v>
      </c>
      <c r="G261" s="1">
        <f t="shared" ca="1" si="16"/>
        <v>0.34253331779105289</v>
      </c>
      <c r="I261" s="1">
        <f t="array" aca="1" ref="I261:J261" ca="1">TRANSPOSE(MMULT($D$11:$E$12,TRANSPOSE(F261:G261)))</f>
        <v>-0.81997518695595972</v>
      </c>
      <c r="J261" s="1">
        <f ca="1"/>
        <v>-0.10003518795410232</v>
      </c>
      <c r="L261" s="1">
        <f t="shared" ca="1" si="12"/>
        <v>0.2061151262774813</v>
      </c>
      <c r="M261" s="1">
        <f t="shared" ca="1" si="13"/>
        <v>0.46015819479952763</v>
      </c>
      <c r="O261" s="2">
        <f t="shared" ca="1" si="17"/>
        <v>-1.5911335680906281E-2</v>
      </c>
      <c r="P261" s="2">
        <f t="shared" ca="1" si="17"/>
        <v>-2.6643614324443031E-3</v>
      </c>
    </row>
    <row r="262" spans="1:16" x14ac:dyDescent="0.25">
      <c r="A262" s="2">
        <v>7.5873644845128705E-4</v>
      </c>
      <c r="B262" s="2">
        <v>-8.8267751225597939E-4</v>
      </c>
      <c r="F262" s="1">
        <f t="shared" ca="1" si="16"/>
        <v>-0.85769518915064291</v>
      </c>
      <c r="G262" s="1">
        <f t="shared" ca="1" si="16"/>
        <v>1.3652366912886964</v>
      </c>
      <c r="I262" s="1">
        <f t="array" aca="1" ref="I262:J262" ca="1">TRANSPOSE(MMULT($D$11:$E$12,TRANSPOSE(F262:G262)))</f>
        <v>-0.85769518915048726</v>
      </c>
      <c r="J262" s="1">
        <f ca="1"/>
        <v>0.77490054403372421</v>
      </c>
      <c r="L262" s="1">
        <f t="shared" ca="1" si="12"/>
        <v>0.19553039860540095</v>
      </c>
      <c r="M262" s="1">
        <f t="shared" ca="1" si="13"/>
        <v>0.78080078467296454</v>
      </c>
      <c r="O262" s="2">
        <f t="shared" ca="1" si="17"/>
        <v>-1.6628896099169184E-2</v>
      </c>
      <c r="P262" s="2">
        <f t="shared" ca="1" si="17"/>
        <v>1.6281026648578504E-2</v>
      </c>
    </row>
    <row r="263" spans="1:16" x14ac:dyDescent="0.25">
      <c r="A263" s="2">
        <v>-1.6495270474520074E-3</v>
      </c>
      <c r="B263" s="2">
        <v>-6.4968851632513291E-3</v>
      </c>
      <c r="F263" s="1">
        <f t="shared" ca="1" si="16"/>
        <v>0.98324816368401113</v>
      </c>
      <c r="G263" s="1">
        <f t="shared" ca="1" si="16"/>
        <v>1.4804661807202089</v>
      </c>
      <c r="I263" s="1">
        <f t="array" aca="1" ref="I263:J263" ca="1">TRANSPOSE(MMULT($D$11:$E$12,TRANSPOSE(F263:G263)))</f>
        <v>0.98324816368383261</v>
      </c>
      <c r="J263" s="1">
        <f ca="1"/>
        <v>1.7718646520887882</v>
      </c>
      <c r="L263" s="1">
        <f t="shared" ca="1" si="12"/>
        <v>0.83725734229258475</v>
      </c>
      <c r="M263" s="1">
        <f t="shared" ca="1" si="13"/>
        <v>0.96179148634258449</v>
      </c>
      <c r="O263" s="2">
        <f t="shared" ca="1" si="17"/>
        <v>1.8391994818217332E-2</v>
      </c>
      <c r="P263" s="2">
        <f t="shared" ca="1" si="17"/>
        <v>3.7868751597291334E-2</v>
      </c>
    </row>
    <row r="264" spans="1:16" x14ac:dyDescent="0.25">
      <c r="A264" s="2"/>
      <c r="B264" s="2"/>
      <c r="F264" s="1"/>
      <c r="G264" s="1"/>
      <c r="I264" s="1"/>
      <c r="J264" s="1"/>
      <c r="L264" s="1"/>
      <c r="M264" s="1"/>
      <c r="O264" s="2"/>
      <c r="P264" s="2"/>
    </row>
    <row r="265" spans="1:16" x14ac:dyDescent="0.25">
      <c r="A265" s="2"/>
      <c r="B265" s="2"/>
      <c r="F265" s="1"/>
      <c r="G265" s="1"/>
      <c r="I265" s="1"/>
      <c r="J265" s="1"/>
      <c r="L265" s="1"/>
      <c r="M265" s="1"/>
      <c r="O265" s="2"/>
      <c r="P265" s="2"/>
    </row>
    <row r="266" spans="1:16" x14ac:dyDescent="0.25">
      <c r="A266" s="2"/>
      <c r="B266" s="2"/>
      <c r="F266" s="1"/>
      <c r="G266" s="1"/>
      <c r="I266" s="1"/>
      <c r="J266" s="1"/>
      <c r="L266" s="1"/>
      <c r="M266" s="1"/>
      <c r="O266" s="2"/>
      <c r="P266" s="2"/>
    </row>
    <row r="267" spans="1:16" x14ac:dyDescent="0.25">
      <c r="A267" s="2"/>
      <c r="B267" s="2"/>
      <c r="F267" s="1"/>
      <c r="G267" s="1"/>
      <c r="I267" s="1"/>
      <c r="J267" s="1"/>
      <c r="L267" s="1"/>
      <c r="M267" s="1"/>
      <c r="O267" s="2"/>
      <c r="P267" s="2"/>
    </row>
    <row r="268" spans="1:16" x14ac:dyDescent="0.25">
      <c r="A268" s="2"/>
      <c r="B268" s="2"/>
      <c r="F268" s="1"/>
      <c r="G268" s="1"/>
      <c r="I268" s="1"/>
      <c r="J268" s="1"/>
      <c r="L268" s="1"/>
      <c r="M268" s="1"/>
      <c r="O268" s="2"/>
      <c r="P268" s="2"/>
    </row>
    <row r="269" spans="1:16" x14ac:dyDescent="0.25">
      <c r="A269" s="2"/>
      <c r="B269" s="2"/>
      <c r="F269" s="1"/>
      <c r="G269" s="1"/>
      <c r="I269" s="1"/>
      <c r="J269" s="1"/>
      <c r="L269" s="1"/>
      <c r="M269" s="1"/>
      <c r="O269" s="2"/>
      <c r="P269" s="2"/>
    </row>
    <row r="270" spans="1:16" x14ac:dyDescent="0.25">
      <c r="A270" s="2"/>
      <c r="B270" s="2"/>
      <c r="F270" s="1"/>
      <c r="G270" s="1"/>
      <c r="I270" s="1"/>
      <c r="J270" s="1"/>
      <c r="L270" s="1"/>
      <c r="M270" s="1"/>
      <c r="O270" s="2"/>
      <c r="P270" s="2"/>
    </row>
    <row r="271" spans="1:16" x14ac:dyDescent="0.25">
      <c r="A271" s="2"/>
      <c r="B271" s="2"/>
      <c r="F271" s="1"/>
      <c r="G271" s="1"/>
      <c r="I271" s="1"/>
      <c r="J271" s="1"/>
      <c r="L271" s="1"/>
      <c r="M271" s="1"/>
      <c r="O271" s="2"/>
      <c r="P271" s="2"/>
    </row>
    <row r="272" spans="1:16" x14ac:dyDescent="0.25">
      <c r="A272" s="2"/>
      <c r="B272" s="2"/>
      <c r="F272" s="1"/>
      <c r="G272" s="1"/>
      <c r="I272" s="1"/>
      <c r="J272" s="1"/>
      <c r="L272" s="1"/>
      <c r="M272" s="1"/>
      <c r="O272" s="2"/>
      <c r="P272" s="2"/>
    </row>
    <row r="273" spans="1:16" x14ac:dyDescent="0.25">
      <c r="A273" s="2"/>
      <c r="B273" s="2"/>
      <c r="F273" s="1"/>
      <c r="G273" s="1"/>
      <c r="I273" s="1"/>
      <c r="J273" s="1"/>
      <c r="L273" s="1"/>
      <c r="M273" s="1"/>
      <c r="O273" s="2"/>
      <c r="P273" s="2"/>
    </row>
    <row r="274" spans="1:16" x14ac:dyDescent="0.25">
      <c r="A274" s="2"/>
      <c r="B274" s="2"/>
      <c r="F274" s="1"/>
      <c r="G274" s="1"/>
      <c r="I274" s="1"/>
      <c r="J274" s="1"/>
      <c r="L274" s="1"/>
      <c r="M274" s="1"/>
      <c r="O274" s="2"/>
      <c r="P274" s="2"/>
    </row>
    <row r="275" spans="1:16" x14ac:dyDescent="0.25">
      <c r="A275" s="2"/>
      <c r="B275" s="2"/>
      <c r="F275" s="1"/>
      <c r="G275" s="1"/>
      <c r="I275" s="1"/>
      <c r="J275" s="1"/>
      <c r="L275" s="1"/>
      <c r="M275" s="1"/>
      <c r="O275" s="2"/>
      <c r="P275" s="2"/>
    </row>
    <row r="276" spans="1:16" x14ac:dyDescent="0.25">
      <c r="A276" s="2"/>
      <c r="B276" s="2"/>
      <c r="F276" s="1"/>
      <c r="G276" s="1"/>
      <c r="I276" s="1"/>
      <c r="J276" s="1"/>
      <c r="L276" s="1"/>
      <c r="M276" s="1"/>
      <c r="O276" s="2"/>
      <c r="P276" s="2"/>
    </row>
    <row r="277" spans="1:16" x14ac:dyDescent="0.25">
      <c r="A277" s="2"/>
      <c r="B277" s="2"/>
      <c r="F277" s="1"/>
      <c r="G277" s="1"/>
      <c r="I277" s="1"/>
      <c r="J277" s="1"/>
      <c r="L277" s="1"/>
      <c r="M277" s="1"/>
      <c r="O277" s="2"/>
      <c r="P277" s="2"/>
    </row>
    <row r="278" spans="1:16" x14ac:dyDescent="0.25">
      <c r="A278" s="2"/>
      <c r="B278" s="2"/>
      <c r="F278" s="1"/>
      <c r="G278" s="1"/>
      <c r="I278" s="1"/>
      <c r="J278" s="1"/>
      <c r="L278" s="1"/>
      <c r="M278" s="1"/>
      <c r="O278" s="2"/>
      <c r="P278" s="2"/>
    </row>
    <row r="279" spans="1:16" x14ac:dyDescent="0.25">
      <c r="A279" s="2"/>
      <c r="B279" s="2"/>
      <c r="F279" s="1"/>
      <c r="G279" s="1"/>
      <c r="I279" s="1"/>
      <c r="J279" s="1"/>
      <c r="L279" s="1"/>
      <c r="M279" s="1"/>
      <c r="O279" s="2"/>
      <c r="P279" s="2"/>
    </row>
    <row r="280" spans="1:16" x14ac:dyDescent="0.25">
      <c r="A280" s="2"/>
      <c r="B280" s="2"/>
      <c r="F280" s="1"/>
      <c r="G280" s="1"/>
      <c r="I280" s="1"/>
      <c r="J280" s="1"/>
      <c r="L280" s="1"/>
      <c r="M280" s="1"/>
      <c r="O280" s="2"/>
      <c r="P280" s="2"/>
    </row>
    <row r="281" spans="1:16" x14ac:dyDescent="0.25">
      <c r="A281" s="2"/>
      <c r="B281" s="2"/>
      <c r="F281" s="1"/>
      <c r="G281" s="1"/>
      <c r="I281" s="1"/>
      <c r="J281" s="1"/>
      <c r="L281" s="1"/>
      <c r="M281" s="1"/>
      <c r="O281" s="2"/>
      <c r="P281" s="2"/>
    </row>
    <row r="282" spans="1:16" x14ac:dyDescent="0.25">
      <c r="A282" s="2"/>
      <c r="B282" s="2"/>
      <c r="F282" s="1"/>
      <c r="G282" s="1"/>
      <c r="I282" s="1"/>
      <c r="J282" s="1"/>
      <c r="L282" s="1"/>
      <c r="M282" s="1"/>
      <c r="O282" s="2"/>
      <c r="P282" s="2"/>
    </row>
    <row r="283" spans="1:16" x14ac:dyDescent="0.25">
      <c r="A283" s="2"/>
      <c r="B283" s="2"/>
      <c r="F283" s="1"/>
      <c r="G283" s="1"/>
      <c r="I283" s="1"/>
      <c r="J283" s="1"/>
      <c r="L283" s="1"/>
      <c r="M283" s="1"/>
      <c r="O283" s="2"/>
      <c r="P283" s="2"/>
    </row>
    <row r="284" spans="1:16" x14ac:dyDescent="0.25">
      <c r="A284" s="2"/>
      <c r="B284" s="2"/>
      <c r="F284" s="1"/>
      <c r="G284" s="1"/>
      <c r="I284" s="1"/>
      <c r="J284" s="1"/>
      <c r="L284" s="1"/>
      <c r="M284" s="1"/>
      <c r="O284" s="2"/>
      <c r="P284" s="2"/>
    </row>
    <row r="285" spans="1:16" x14ac:dyDescent="0.25">
      <c r="A285" s="2"/>
      <c r="B285" s="2"/>
      <c r="F285" s="1"/>
      <c r="G285" s="1"/>
      <c r="I285" s="1"/>
      <c r="J285" s="1"/>
      <c r="L285" s="1"/>
      <c r="M285" s="1"/>
      <c r="O285" s="2"/>
      <c r="P285" s="2"/>
    </row>
    <row r="286" spans="1:16" x14ac:dyDescent="0.25">
      <c r="A286" s="2"/>
      <c r="B286" s="2"/>
      <c r="F286" s="1"/>
      <c r="G286" s="1"/>
      <c r="I286" s="1"/>
      <c r="J286" s="1"/>
      <c r="L286" s="1"/>
      <c r="M286" s="1"/>
      <c r="O286" s="2"/>
      <c r="P286" s="2"/>
    </row>
    <row r="287" spans="1:16" x14ac:dyDescent="0.25">
      <c r="A287" s="2"/>
      <c r="B287" s="2"/>
      <c r="F287" s="1"/>
      <c r="G287" s="1"/>
      <c r="I287" s="1"/>
      <c r="J287" s="1"/>
      <c r="L287" s="1"/>
      <c r="M287" s="1"/>
      <c r="O287" s="2"/>
      <c r="P287" s="2"/>
    </row>
    <row r="288" spans="1:16" x14ac:dyDescent="0.25">
      <c r="A288" s="2"/>
      <c r="B288" s="2"/>
      <c r="F288" s="1"/>
      <c r="G288" s="1"/>
      <c r="I288" s="1"/>
      <c r="J288" s="1"/>
      <c r="L288" s="1"/>
      <c r="M288" s="1"/>
      <c r="O288" s="2"/>
      <c r="P288" s="2"/>
    </row>
    <row r="289" spans="1:16" x14ac:dyDescent="0.25">
      <c r="A289" s="2"/>
      <c r="B289" s="2"/>
      <c r="F289" s="1"/>
      <c r="G289" s="1"/>
      <c r="I289" s="1"/>
      <c r="J289" s="1"/>
      <c r="L289" s="1"/>
      <c r="M289" s="1"/>
      <c r="O289" s="2"/>
      <c r="P289" s="2"/>
    </row>
    <row r="290" spans="1:16" x14ac:dyDescent="0.25">
      <c r="A290" s="2"/>
      <c r="B290" s="2"/>
      <c r="F290" s="1"/>
      <c r="G290" s="1"/>
      <c r="I290" s="1"/>
      <c r="J290" s="1"/>
      <c r="L290" s="1"/>
      <c r="M290" s="1"/>
      <c r="O290" s="2"/>
      <c r="P290" s="2"/>
    </row>
    <row r="291" spans="1:16" x14ac:dyDescent="0.25">
      <c r="A291" s="2"/>
      <c r="B291" s="2"/>
      <c r="F291" s="1"/>
      <c r="G291" s="1"/>
      <c r="I291" s="1"/>
      <c r="J291" s="1"/>
      <c r="L291" s="1"/>
      <c r="M291" s="1"/>
      <c r="O291" s="2"/>
      <c r="P291" s="2"/>
    </row>
    <row r="292" spans="1:16" x14ac:dyDescent="0.25">
      <c r="A292" s="2"/>
      <c r="B292" s="2"/>
      <c r="F292" s="1"/>
      <c r="G292" s="1"/>
      <c r="I292" s="1"/>
      <c r="J292" s="1"/>
      <c r="L292" s="1"/>
      <c r="M292" s="1"/>
      <c r="O292" s="2"/>
      <c r="P292" s="2"/>
    </row>
    <row r="293" spans="1:16" x14ac:dyDescent="0.25">
      <c r="A293" s="2"/>
      <c r="B293" s="2"/>
      <c r="F293" s="1"/>
      <c r="G293" s="1"/>
      <c r="I293" s="1"/>
      <c r="J293" s="1"/>
      <c r="L293" s="1"/>
      <c r="M293" s="1"/>
      <c r="O293" s="2"/>
      <c r="P293" s="2"/>
    </row>
    <row r="294" spans="1:16" x14ac:dyDescent="0.25">
      <c r="A294" s="2"/>
      <c r="B294" s="2"/>
      <c r="F294" s="1"/>
      <c r="G294" s="1"/>
      <c r="I294" s="1"/>
      <c r="J294" s="1"/>
      <c r="L294" s="1"/>
      <c r="M294" s="1"/>
      <c r="O294" s="2"/>
      <c r="P294" s="2"/>
    </row>
    <row r="295" spans="1:16" x14ac:dyDescent="0.25">
      <c r="A295" s="2"/>
      <c r="B295" s="2"/>
      <c r="F295" s="1"/>
      <c r="G295" s="1"/>
      <c r="I295" s="1"/>
      <c r="J295" s="1"/>
      <c r="L295" s="1"/>
      <c r="M295" s="1"/>
      <c r="O295" s="2"/>
      <c r="P295" s="2"/>
    </row>
    <row r="296" spans="1:16" x14ac:dyDescent="0.25">
      <c r="A296" s="2"/>
      <c r="B296" s="2"/>
      <c r="F296" s="1"/>
      <c r="G296" s="1"/>
      <c r="I296" s="1"/>
      <c r="J296" s="1"/>
      <c r="L296" s="1"/>
      <c r="M296" s="1"/>
      <c r="O296" s="2"/>
      <c r="P296" s="2"/>
    </row>
    <row r="297" spans="1:16" x14ac:dyDescent="0.25">
      <c r="A297" s="2"/>
      <c r="B297" s="2"/>
      <c r="F297" s="1"/>
      <c r="G297" s="1"/>
      <c r="I297" s="1"/>
      <c r="J297" s="1"/>
      <c r="L297" s="1"/>
      <c r="M297" s="1"/>
      <c r="O297" s="2"/>
      <c r="P297" s="2"/>
    </row>
    <row r="298" spans="1:16" x14ac:dyDescent="0.25">
      <c r="A298" s="2"/>
      <c r="B298" s="2"/>
      <c r="F298" s="1"/>
      <c r="G298" s="1"/>
      <c r="I298" s="1"/>
      <c r="J298" s="1"/>
      <c r="L298" s="1"/>
      <c r="M298" s="1"/>
      <c r="O298" s="2"/>
      <c r="P298" s="2"/>
    </row>
    <row r="299" spans="1:16" x14ac:dyDescent="0.25">
      <c r="A299" s="2"/>
      <c r="B299" s="2"/>
      <c r="F299" s="1"/>
      <c r="G299" s="1"/>
      <c r="I299" s="1"/>
      <c r="J299" s="1"/>
      <c r="L299" s="1"/>
      <c r="M299" s="1"/>
      <c r="O299" s="2"/>
      <c r="P299" s="2"/>
    </row>
    <row r="300" spans="1:16" x14ac:dyDescent="0.25">
      <c r="A300" s="2"/>
      <c r="B300" s="2"/>
      <c r="F300" s="1"/>
      <c r="G300" s="1"/>
      <c r="I300" s="1"/>
      <c r="J300" s="1"/>
      <c r="L300" s="1"/>
      <c r="M300" s="1"/>
      <c r="O300" s="2"/>
      <c r="P300" s="2"/>
    </row>
    <row r="301" spans="1:16" x14ac:dyDescent="0.25">
      <c r="A301" s="2"/>
      <c r="B301" s="2"/>
      <c r="F301" s="1"/>
      <c r="G301" s="1"/>
      <c r="I301" s="1"/>
      <c r="J301" s="1"/>
      <c r="L301" s="1"/>
      <c r="M301" s="1"/>
      <c r="O301" s="2"/>
      <c r="P301" s="2"/>
    </row>
    <row r="302" spans="1:16" x14ac:dyDescent="0.25">
      <c r="A302" s="2"/>
      <c r="B302" s="2"/>
      <c r="F302" s="1"/>
      <c r="G302" s="1"/>
      <c r="I302" s="1"/>
      <c r="J302" s="1"/>
      <c r="L302" s="1"/>
      <c r="M302" s="1"/>
      <c r="O302" s="2"/>
      <c r="P302" s="2"/>
    </row>
    <row r="303" spans="1:16" x14ac:dyDescent="0.25">
      <c r="A303" s="2"/>
      <c r="B303" s="2"/>
      <c r="F303" s="1"/>
      <c r="G303" s="1"/>
      <c r="I303" s="1"/>
      <c r="J303" s="1"/>
      <c r="L303" s="1"/>
      <c r="M303" s="1"/>
      <c r="O303" s="2"/>
      <c r="P303" s="2"/>
    </row>
    <row r="304" spans="1:16" x14ac:dyDescent="0.25">
      <c r="A304" s="2"/>
      <c r="B304" s="2"/>
      <c r="F304" s="1"/>
      <c r="G304" s="1"/>
      <c r="I304" s="1"/>
      <c r="J304" s="1"/>
      <c r="L304" s="1"/>
      <c r="M304" s="1"/>
      <c r="O304" s="2"/>
      <c r="P304" s="2"/>
    </row>
    <row r="305" spans="1:16" x14ac:dyDescent="0.25">
      <c r="A305" s="2"/>
      <c r="B305" s="2"/>
      <c r="F305" s="1"/>
      <c r="G305" s="1"/>
      <c r="I305" s="1"/>
      <c r="J305" s="1"/>
      <c r="L305" s="1"/>
      <c r="M305" s="1"/>
      <c r="O305" s="2"/>
      <c r="P305" s="2"/>
    </row>
    <row r="306" spans="1:16" x14ac:dyDescent="0.25">
      <c r="A306" s="2"/>
      <c r="B306" s="2"/>
      <c r="F306" s="1"/>
      <c r="G306" s="1"/>
      <c r="I306" s="1"/>
      <c r="J306" s="1"/>
      <c r="L306" s="1"/>
      <c r="M306" s="1"/>
      <c r="O306" s="2"/>
      <c r="P306" s="2"/>
    </row>
    <row r="307" spans="1:16" x14ac:dyDescent="0.25">
      <c r="A307" s="2"/>
      <c r="B307" s="2"/>
      <c r="F307" s="1"/>
      <c r="G307" s="1"/>
      <c r="I307" s="1"/>
      <c r="J307" s="1"/>
      <c r="L307" s="1"/>
      <c r="M307" s="1"/>
      <c r="O307" s="2"/>
      <c r="P307" s="2"/>
    </row>
    <row r="308" spans="1:16" x14ac:dyDescent="0.25">
      <c r="A308" s="2"/>
      <c r="B308" s="2"/>
      <c r="F308" s="1"/>
      <c r="G308" s="1"/>
      <c r="I308" s="1"/>
      <c r="J308" s="1"/>
      <c r="L308" s="1"/>
      <c r="M308" s="1"/>
      <c r="O308" s="2"/>
      <c r="P308" s="2"/>
    </row>
    <row r="309" spans="1:16" x14ac:dyDescent="0.25">
      <c r="A309" s="2"/>
      <c r="B309" s="2"/>
      <c r="F309" s="1"/>
      <c r="G309" s="1"/>
      <c r="I309" s="1"/>
      <c r="J309" s="1"/>
      <c r="L309" s="1"/>
      <c r="M309" s="1"/>
      <c r="O309" s="2"/>
      <c r="P309" s="2"/>
    </row>
    <row r="310" spans="1:16" x14ac:dyDescent="0.25">
      <c r="A310" s="2"/>
      <c r="B310" s="2"/>
      <c r="F310" s="1"/>
      <c r="G310" s="1"/>
      <c r="I310" s="1"/>
      <c r="J310" s="1"/>
      <c r="L310" s="1"/>
      <c r="M310" s="1"/>
      <c r="O310" s="2"/>
      <c r="P310" s="2"/>
    </row>
    <row r="311" spans="1:16" x14ac:dyDescent="0.25">
      <c r="A311" s="2"/>
      <c r="B311" s="2"/>
      <c r="F311" s="1"/>
      <c r="G311" s="1"/>
      <c r="I311" s="1"/>
      <c r="J311" s="1"/>
      <c r="L311" s="1"/>
      <c r="M311" s="1"/>
      <c r="O311" s="2"/>
      <c r="P311" s="2"/>
    </row>
    <row r="312" spans="1:16" x14ac:dyDescent="0.25">
      <c r="A312" s="2"/>
      <c r="B312" s="2"/>
      <c r="F312" s="1"/>
      <c r="G312" s="1"/>
      <c r="I312" s="1"/>
      <c r="J312" s="1"/>
      <c r="L312" s="1"/>
      <c r="M312" s="1"/>
      <c r="O312" s="2"/>
      <c r="P312" s="2"/>
    </row>
    <row r="313" spans="1:16" x14ac:dyDescent="0.25">
      <c r="A313" s="2"/>
      <c r="B313" s="2"/>
      <c r="F313" s="1"/>
      <c r="G313" s="1"/>
      <c r="I313" s="1"/>
      <c r="J313" s="1"/>
      <c r="L313" s="1"/>
      <c r="M313" s="1"/>
      <c r="O313" s="2"/>
      <c r="P313" s="2"/>
    </row>
    <row r="314" spans="1:16" x14ac:dyDescent="0.25">
      <c r="A314" s="2"/>
      <c r="B314" s="2"/>
      <c r="F314" s="1"/>
      <c r="G314" s="1"/>
      <c r="I314" s="1"/>
      <c r="J314" s="1"/>
      <c r="L314" s="1"/>
      <c r="M314" s="1"/>
      <c r="O314" s="2"/>
      <c r="P314" s="2"/>
    </row>
    <row r="315" spans="1:16" x14ac:dyDescent="0.25">
      <c r="A315" s="2"/>
      <c r="B315" s="2"/>
      <c r="F315" s="1"/>
      <c r="G315" s="1"/>
      <c r="I315" s="1"/>
      <c r="J315" s="1"/>
      <c r="L315" s="1"/>
      <c r="M315" s="1"/>
      <c r="O315" s="2"/>
      <c r="P315" s="2"/>
    </row>
    <row r="316" spans="1:16" x14ac:dyDescent="0.25">
      <c r="A316" s="2"/>
      <c r="B316" s="2"/>
      <c r="F316" s="1"/>
      <c r="G316" s="1"/>
      <c r="I316" s="1"/>
      <c r="J316" s="1"/>
      <c r="L316" s="1"/>
      <c r="M316" s="1"/>
      <c r="O316" s="2"/>
      <c r="P316" s="2"/>
    </row>
    <row r="317" spans="1:16" x14ac:dyDescent="0.25">
      <c r="A317" s="2"/>
      <c r="B317" s="2"/>
      <c r="F317" s="1"/>
      <c r="G317" s="1"/>
      <c r="I317" s="1"/>
      <c r="J317" s="1"/>
      <c r="L317" s="1"/>
      <c r="M317" s="1"/>
      <c r="O317" s="2"/>
      <c r="P317" s="2"/>
    </row>
    <row r="318" spans="1:16" x14ac:dyDescent="0.25">
      <c r="A318" s="2"/>
      <c r="B318" s="2"/>
      <c r="F318" s="1"/>
      <c r="G318" s="1"/>
      <c r="I318" s="1"/>
      <c r="J318" s="1"/>
      <c r="L318" s="1"/>
      <c r="M318" s="1"/>
      <c r="O318" s="2"/>
      <c r="P318" s="2"/>
    </row>
    <row r="319" spans="1:16" x14ac:dyDescent="0.25">
      <c r="A319" s="2"/>
      <c r="B319" s="2"/>
      <c r="F319" s="1"/>
      <c r="G319" s="1"/>
      <c r="I319" s="1"/>
      <c r="J319" s="1"/>
      <c r="L319" s="1"/>
      <c r="M319" s="1"/>
      <c r="O319" s="2"/>
      <c r="P319" s="2"/>
    </row>
    <row r="320" spans="1:16" x14ac:dyDescent="0.25">
      <c r="A320" s="2"/>
      <c r="B320" s="2"/>
      <c r="F320" s="1"/>
      <c r="G320" s="1"/>
      <c r="I320" s="1"/>
      <c r="J320" s="1"/>
      <c r="L320" s="1"/>
      <c r="M320" s="1"/>
      <c r="O320" s="2"/>
      <c r="P320" s="2"/>
    </row>
    <row r="321" spans="1:16" x14ac:dyDescent="0.25">
      <c r="A321" s="2"/>
      <c r="B321" s="2"/>
      <c r="F321" s="1"/>
      <c r="G321" s="1"/>
      <c r="I321" s="1"/>
      <c r="J321" s="1"/>
      <c r="L321" s="1"/>
      <c r="M321" s="1"/>
      <c r="O321" s="2"/>
      <c r="P321" s="2"/>
    </row>
    <row r="322" spans="1:16" x14ac:dyDescent="0.25">
      <c r="A322" s="2"/>
      <c r="B322" s="2"/>
      <c r="F322" s="1"/>
      <c r="G322" s="1"/>
      <c r="I322" s="1"/>
      <c r="J322" s="1"/>
      <c r="L322" s="1"/>
      <c r="M322" s="1"/>
      <c r="O322" s="2"/>
      <c r="P322" s="2"/>
    </row>
    <row r="323" spans="1:16" x14ac:dyDescent="0.25">
      <c r="A323" s="2"/>
      <c r="B323" s="2"/>
      <c r="F323" s="1"/>
      <c r="G323" s="1"/>
      <c r="I323" s="1"/>
      <c r="J323" s="1"/>
      <c r="L323" s="1"/>
      <c r="M323" s="1"/>
      <c r="O323" s="2"/>
      <c r="P323" s="2"/>
    </row>
    <row r="324" spans="1:16" x14ac:dyDescent="0.25">
      <c r="A324" s="2"/>
      <c r="B324" s="2"/>
      <c r="F324" s="1"/>
      <c r="G324" s="1"/>
      <c r="I324" s="1"/>
      <c r="J324" s="1"/>
      <c r="L324" s="1"/>
      <c r="M324" s="1"/>
      <c r="O324" s="2"/>
      <c r="P324" s="2"/>
    </row>
    <row r="325" spans="1:16" x14ac:dyDescent="0.25">
      <c r="A325" s="2"/>
      <c r="B325" s="2"/>
      <c r="F325" s="1"/>
      <c r="G325" s="1"/>
      <c r="I325" s="1"/>
      <c r="J325" s="1"/>
      <c r="L325" s="1"/>
      <c r="M325" s="1"/>
      <c r="O325" s="2"/>
      <c r="P325" s="2"/>
    </row>
    <row r="326" spans="1:16" x14ac:dyDescent="0.25">
      <c r="A326" s="2"/>
      <c r="B326" s="2"/>
      <c r="F326" s="1"/>
      <c r="G326" s="1"/>
      <c r="I326" s="1"/>
      <c r="J326" s="1"/>
      <c r="L326" s="1"/>
      <c r="M326" s="1"/>
      <c r="O326" s="2"/>
      <c r="P326" s="2"/>
    </row>
    <row r="327" spans="1:16" x14ac:dyDescent="0.25">
      <c r="A327" s="2"/>
      <c r="B327" s="2"/>
      <c r="F327" s="1"/>
      <c r="G327" s="1"/>
      <c r="I327" s="1"/>
      <c r="J327" s="1"/>
      <c r="L327" s="1"/>
      <c r="M327" s="1"/>
      <c r="O327" s="2"/>
      <c r="P327" s="2"/>
    </row>
    <row r="328" spans="1:16" x14ac:dyDescent="0.25">
      <c r="A328" s="2"/>
      <c r="B328" s="2"/>
      <c r="F328" s="1"/>
      <c r="G328" s="1"/>
      <c r="I328" s="1"/>
      <c r="J328" s="1"/>
      <c r="L328" s="1"/>
      <c r="M328" s="1"/>
      <c r="O328" s="2"/>
      <c r="P328" s="2"/>
    </row>
    <row r="329" spans="1:16" x14ac:dyDescent="0.25">
      <c r="A329" s="2"/>
      <c r="B329" s="2"/>
      <c r="F329" s="1"/>
      <c r="G329" s="1"/>
      <c r="I329" s="1"/>
      <c r="J329" s="1"/>
      <c r="L329" s="1"/>
      <c r="M329" s="1"/>
      <c r="O329" s="2"/>
      <c r="P329" s="2"/>
    </row>
    <row r="330" spans="1:16" x14ac:dyDescent="0.25">
      <c r="A330" s="2"/>
      <c r="B330" s="2"/>
      <c r="F330" s="1"/>
      <c r="G330" s="1"/>
      <c r="I330" s="1"/>
      <c r="J330" s="1"/>
      <c r="L330" s="1"/>
      <c r="M330" s="1"/>
      <c r="O330" s="2"/>
      <c r="P330" s="2"/>
    </row>
    <row r="331" spans="1:16" x14ac:dyDescent="0.25">
      <c r="A331" s="2"/>
      <c r="B331" s="2"/>
      <c r="F331" s="1"/>
      <c r="G331" s="1"/>
      <c r="I331" s="1"/>
      <c r="J331" s="1"/>
      <c r="L331" s="1"/>
      <c r="M331" s="1"/>
      <c r="O331" s="2"/>
      <c r="P331" s="2"/>
    </row>
    <row r="332" spans="1:16" x14ac:dyDescent="0.25">
      <c r="A332" s="2"/>
      <c r="B332" s="2"/>
      <c r="F332" s="1"/>
      <c r="G332" s="1"/>
      <c r="I332" s="1"/>
      <c r="J332" s="1"/>
      <c r="L332" s="1"/>
      <c r="M332" s="1"/>
      <c r="O332" s="2"/>
      <c r="P332" s="2"/>
    </row>
    <row r="333" spans="1:16" x14ac:dyDescent="0.25">
      <c r="A333" s="2"/>
      <c r="B333" s="2"/>
      <c r="F333" s="1"/>
      <c r="G333" s="1"/>
      <c r="I333" s="1"/>
      <c r="J333" s="1"/>
      <c r="L333" s="1"/>
      <c r="M333" s="1"/>
      <c r="O333" s="2"/>
      <c r="P333" s="2"/>
    </row>
    <row r="334" spans="1:16" x14ac:dyDescent="0.25">
      <c r="A334" s="2"/>
      <c r="B334" s="2"/>
      <c r="F334" s="1"/>
      <c r="G334" s="1"/>
      <c r="I334" s="1"/>
      <c r="J334" s="1"/>
      <c r="L334" s="1"/>
      <c r="M334" s="1"/>
      <c r="O334" s="2"/>
      <c r="P334" s="2"/>
    </row>
    <row r="335" spans="1:16" x14ac:dyDescent="0.25">
      <c r="A335" s="2"/>
      <c r="B335" s="2"/>
      <c r="F335" s="1"/>
      <c r="G335" s="1"/>
      <c r="I335" s="1"/>
      <c r="J335" s="1"/>
      <c r="L335" s="1"/>
      <c r="M335" s="1"/>
      <c r="O335" s="2"/>
      <c r="P335" s="2"/>
    </row>
    <row r="336" spans="1:16" x14ac:dyDescent="0.25">
      <c r="A336" s="2"/>
      <c r="B336" s="2"/>
      <c r="F336" s="1"/>
      <c r="G336" s="1"/>
      <c r="I336" s="1"/>
      <c r="J336" s="1"/>
      <c r="L336" s="1"/>
      <c r="M336" s="1"/>
      <c r="O336" s="2"/>
      <c r="P336" s="2"/>
    </row>
    <row r="337" spans="1:16" x14ac:dyDescent="0.25">
      <c r="A337" s="2"/>
      <c r="B337" s="2"/>
      <c r="F337" s="1"/>
      <c r="G337" s="1"/>
      <c r="I337" s="1"/>
      <c r="J337" s="1"/>
      <c r="L337" s="1"/>
      <c r="M337" s="1"/>
      <c r="O337" s="2"/>
      <c r="P337" s="2"/>
    </row>
    <row r="338" spans="1:16" x14ac:dyDescent="0.25">
      <c r="A338" s="2"/>
      <c r="B338" s="2"/>
      <c r="F338" s="1"/>
      <c r="G338" s="1"/>
      <c r="I338" s="1"/>
      <c r="J338" s="1"/>
      <c r="L338" s="1"/>
      <c r="M338" s="1"/>
      <c r="O338" s="2"/>
      <c r="P338" s="2"/>
    </row>
    <row r="339" spans="1:16" x14ac:dyDescent="0.25">
      <c r="A339" s="2"/>
      <c r="B339" s="2"/>
      <c r="F339" s="1"/>
      <c r="G339" s="1"/>
      <c r="I339" s="1"/>
      <c r="J339" s="1"/>
      <c r="L339" s="1"/>
      <c r="M339" s="1"/>
      <c r="O339" s="2"/>
      <c r="P339" s="2"/>
    </row>
    <row r="340" spans="1:16" x14ac:dyDescent="0.25">
      <c r="A340" s="2"/>
      <c r="B340" s="2"/>
      <c r="F340" s="1"/>
      <c r="G340" s="1"/>
      <c r="I340" s="1"/>
      <c r="J340" s="1"/>
      <c r="L340" s="1"/>
      <c r="M340" s="1"/>
      <c r="O340" s="2"/>
      <c r="P340" s="2"/>
    </row>
    <row r="341" spans="1:16" x14ac:dyDescent="0.25">
      <c r="A341" s="2"/>
      <c r="B341" s="2"/>
      <c r="F341" s="1"/>
      <c r="G341" s="1"/>
      <c r="I341" s="1"/>
      <c r="J341" s="1"/>
      <c r="L341" s="1"/>
      <c r="M341" s="1"/>
      <c r="O341" s="2"/>
      <c r="P341" s="2"/>
    </row>
    <row r="342" spans="1:16" x14ac:dyDescent="0.25">
      <c r="A342" s="2"/>
      <c r="B342" s="2"/>
      <c r="F342" s="1"/>
      <c r="G342" s="1"/>
      <c r="I342" s="1"/>
      <c r="J342" s="1"/>
      <c r="L342" s="1"/>
      <c r="M342" s="1"/>
      <c r="O342" s="2"/>
      <c r="P342" s="2"/>
    </row>
    <row r="343" spans="1:16" x14ac:dyDescent="0.25">
      <c r="A343" s="2"/>
      <c r="B343" s="2"/>
      <c r="F343" s="1"/>
      <c r="G343" s="1"/>
      <c r="I343" s="1"/>
      <c r="J343" s="1"/>
      <c r="L343" s="1"/>
      <c r="M343" s="1"/>
      <c r="O343" s="2"/>
      <c r="P343" s="2"/>
    </row>
    <row r="344" spans="1:16" x14ac:dyDescent="0.25">
      <c r="A344" s="2"/>
      <c r="B344" s="2"/>
      <c r="F344" s="1"/>
      <c r="G344" s="1"/>
      <c r="I344" s="1"/>
      <c r="J344" s="1"/>
      <c r="L344" s="1"/>
      <c r="M344" s="1"/>
      <c r="O344" s="2"/>
      <c r="P344" s="2"/>
    </row>
    <row r="345" spans="1:16" x14ac:dyDescent="0.25">
      <c r="A345" s="2"/>
      <c r="B345" s="2"/>
      <c r="F345" s="1"/>
      <c r="G345" s="1"/>
      <c r="I345" s="1"/>
      <c r="J345" s="1"/>
      <c r="L345" s="1"/>
      <c r="M345" s="1"/>
      <c r="O345" s="2"/>
      <c r="P345" s="2"/>
    </row>
    <row r="346" spans="1:16" x14ac:dyDescent="0.25">
      <c r="A346" s="2"/>
      <c r="B346" s="2"/>
      <c r="F346" s="1"/>
      <c r="G346" s="1"/>
      <c r="I346" s="1"/>
      <c r="J346" s="1"/>
      <c r="L346" s="1"/>
      <c r="M346" s="1"/>
      <c r="O346" s="2"/>
      <c r="P346" s="2"/>
    </row>
    <row r="347" spans="1:16" x14ac:dyDescent="0.25">
      <c r="A347" s="2"/>
      <c r="B347" s="2"/>
      <c r="F347" s="1"/>
      <c r="G347" s="1"/>
      <c r="I347" s="1"/>
      <c r="J347" s="1"/>
      <c r="L347" s="1"/>
      <c r="M347" s="1"/>
      <c r="O347" s="2"/>
      <c r="P347" s="2"/>
    </row>
    <row r="348" spans="1:16" x14ac:dyDescent="0.25">
      <c r="A348" s="2"/>
      <c r="B348" s="2"/>
      <c r="F348" s="1"/>
      <c r="G348" s="1"/>
      <c r="I348" s="1"/>
      <c r="J348" s="1"/>
      <c r="L348" s="1"/>
      <c r="M348" s="1"/>
      <c r="O348" s="2"/>
      <c r="P348" s="2"/>
    </row>
    <row r="349" spans="1:16" x14ac:dyDescent="0.25">
      <c r="A349" s="2"/>
      <c r="B349" s="2"/>
      <c r="F349" s="1"/>
      <c r="G349" s="1"/>
      <c r="I349" s="1"/>
      <c r="J349" s="1"/>
      <c r="L349" s="1"/>
      <c r="M349" s="1"/>
      <c r="O349" s="2"/>
      <c r="P349" s="2"/>
    </row>
    <row r="350" spans="1:16" x14ac:dyDescent="0.25">
      <c r="A350" s="2"/>
      <c r="B350" s="2"/>
      <c r="F350" s="1"/>
      <c r="G350" s="1"/>
      <c r="I350" s="1"/>
      <c r="J350" s="1"/>
      <c r="L350" s="1"/>
      <c r="M350" s="1"/>
      <c r="O350" s="2"/>
      <c r="P350" s="2"/>
    </row>
    <row r="351" spans="1:16" x14ac:dyDescent="0.25">
      <c r="A351" s="2"/>
      <c r="B351" s="2"/>
      <c r="F351" s="1"/>
      <c r="G351" s="1"/>
      <c r="I351" s="1"/>
      <c r="J351" s="1"/>
      <c r="L351" s="1"/>
      <c r="M351" s="1"/>
      <c r="O351" s="2"/>
      <c r="P351" s="2"/>
    </row>
    <row r="352" spans="1:16" x14ac:dyDescent="0.25">
      <c r="A352" s="2"/>
      <c r="B352" s="2"/>
      <c r="F352" s="1"/>
      <c r="G352" s="1"/>
      <c r="I352" s="1"/>
      <c r="J352" s="1"/>
      <c r="L352" s="1"/>
      <c r="M352" s="1"/>
      <c r="O352" s="2"/>
      <c r="P352" s="2"/>
    </row>
    <row r="353" spans="1:16" x14ac:dyDescent="0.25">
      <c r="A353" s="2"/>
      <c r="B353" s="2"/>
      <c r="F353" s="1"/>
      <c r="G353" s="1"/>
      <c r="I353" s="1"/>
      <c r="J353" s="1"/>
      <c r="L353" s="1"/>
      <c r="M353" s="1"/>
      <c r="O353" s="2"/>
      <c r="P353" s="2"/>
    </row>
    <row r="354" spans="1:16" x14ac:dyDescent="0.25">
      <c r="A354" s="2"/>
      <c r="B354" s="2"/>
      <c r="F354" s="1"/>
      <c r="G354" s="1"/>
      <c r="I354" s="1"/>
      <c r="J354" s="1"/>
      <c r="L354" s="1"/>
      <c r="M354" s="1"/>
      <c r="O354" s="2"/>
      <c r="P354" s="2"/>
    </row>
    <row r="355" spans="1:16" x14ac:dyDescent="0.25">
      <c r="A355" s="2"/>
      <c r="B355" s="2"/>
      <c r="F355" s="1"/>
      <c r="G355" s="1"/>
      <c r="I355" s="1"/>
      <c r="J355" s="1"/>
      <c r="L355" s="1"/>
      <c r="M355" s="1"/>
      <c r="O355" s="2"/>
      <c r="P355" s="2"/>
    </row>
    <row r="356" spans="1:16" x14ac:dyDescent="0.25">
      <c r="A356" s="2"/>
      <c r="B356" s="2"/>
      <c r="F356" s="1"/>
      <c r="G356" s="1"/>
      <c r="I356" s="1"/>
      <c r="J356" s="1"/>
      <c r="L356" s="1"/>
      <c r="M356" s="1"/>
      <c r="O356" s="2"/>
      <c r="P356" s="2"/>
    </row>
    <row r="357" spans="1:16" x14ac:dyDescent="0.25">
      <c r="A357" s="2"/>
      <c r="B357" s="2"/>
      <c r="F357" s="1"/>
      <c r="G357" s="1"/>
      <c r="I357" s="1"/>
      <c r="J357" s="1"/>
      <c r="L357" s="1"/>
      <c r="M357" s="1"/>
      <c r="O357" s="2"/>
      <c r="P357" s="2"/>
    </row>
    <row r="358" spans="1:16" x14ac:dyDescent="0.25">
      <c r="A358" s="2"/>
      <c r="B358" s="2"/>
      <c r="F358" s="1"/>
      <c r="G358" s="1"/>
      <c r="I358" s="1"/>
      <c r="J358" s="1"/>
      <c r="L358" s="1"/>
      <c r="M358" s="1"/>
      <c r="O358" s="2"/>
      <c r="P358" s="2"/>
    </row>
    <row r="359" spans="1:16" x14ac:dyDescent="0.25">
      <c r="A359" s="2"/>
      <c r="B359" s="2"/>
      <c r="F359" s="1"/>
      <c r="G359" s="1"/>
      <c r="I359" s="1"/>
      <c r="J359" s="1"/>
      <c r="L359" s="1"/>
      <c r="M359" s="1"/>
      <c r="O359" s="2"/>
      <c r="P359" s="2"/>
    </row>
    <row r="360" spans="1:16" x14ac:dyDescent="0.25">
      <c r="A360" s="2"/>
      <c r="B360" s="2"/>
      <c r="F360" s="1"/>
      <c r="G360" s="1"/>
      <c r="I360" s="1"/>
      <c r="J360" s="1"/>
      <c r="L360" s="1"/>
      <c r="M360" s="1"/>
      <c r="O360" s="2"/>
      <c r="P360" s="2"/>
    </row>
    <row r="361" spans="1:16" x14ac:dyDescent="0.25">
      <c r="A361" s="2"/>
      <c r="B361" s="2"/>
      <c r="F361" s="1"/>
      <c r="G361" s="1"/>
      <c r="I361" s="1"/>
      <c r="J361" s="1"/>
      <c r="L361" s="1"/>
      <c r="M361" s="1"/>
      <c r="O361" s="2"/>
      <c r="P361" s="2"/>
    </row>
    <row r="362" spans="1:16" x14ac:dyDescent="0.25">
      <c r="A362" s="2"/>
      <c r="B362" s="2"/>
      <c r="F362" s="1"/>
      <c r="G362" s="1"/>
      <c r="I362" s="1"/>
      <c r="J362" s="1"/>
      <c r="L362" s="1"/>
      <c r="M362" s="1"/>
      <c r="O362" s="2"/>
      <c r="P362" s="2"/>
    </row>
    <row r="363" spans="1:16" x14ac:dyDescent="0.25">
      <c r="A363" s="2"/>
      <c r="B363" s="2"/>
      <c r="F363" s="1"/>
      <c r="G363" s="1"/>
      <c r="I363" s="1"/>
      <c r="J363" s="1"/>
      <c r="L363" s="1"/>
      <c r="M363" s="1"/>
      <c r="O363" s="2"/>
      <c r="P363" s="2"/>
    </row>
    <row r="364" spans="1:16" x14ac:dyDescent="0.25">
      <c r="A364" s="2"/>
      <c r="B364" s="2"/>
      <c r="F364" s="1"/>
      <c r="G364" s="1"/>
      <c r="I364" s="1"/>
      <c r="J364" s="1"/>
      <c r="L364" s="1"/>
      <c r="M364" s="1"/>
      <c r="O364" s="2"/>
      <c r="P364" s="2"/>
    </row>
    <row r="365" spans="1:16" x14ac:dyDescent="0.25">
      <c r="A365" s="2"/>
      <c r="B365" s="2"/>
      <c r="F365" s="1"/>
      <c r="G365" s="1"/>
      <c r="I365" s="1"/>
      <c r="J365" s="1"/>
      <c r="L365" s="1"/>
      <c r="M365" s="1"/>
      <c r="O365" s="2"/>
      <c r="P365" s="2"/>
    </row>
    <row r="366" spans="1:16" x14ac:dyDescent="0.25">
      <c r="A366" s="2"/>
      <c r="B366" s="2"/>
      <c r="F366" s="1"/>
      <c r="G366" s="1"/>
      <c r="I366" s="1"/>
      <c r="J366" s="1"/>
      <c r="L366" s="1"/>
      <c r="M366" s="1"/>
      <c r="O366" s="2"/>
      <c r="P366" s="2"/>
    </row>
    <row r="367" spans="1:16" x14ac:dyDescent="0.25">
      <c r="A367" s="2"/>
      <c r="B367" s="2"/>
      <c r="F367" s="1"/>
      <c r="G367" s="1"/>
      <c r="I367" s="1"/>
      <c r="J367" s="1"/>
      <c r="L367" s="1"/>
      <c r="M367" s="1"/>
      <c r="O367" s="2"/>
      <c r="P367" s="2"/>
    </row>
    <row r="368" spans="1:16" x14ac:dyDescent="0.25">
      <c r="A368" s="2"/>
      <c r="B368" s="2"/>
      <c r="F368" s="1"/>
      <c r="G368" s="1"/>
      <c r="I368" s="1"/>
      <c r="J368" s="1"/>
      <c r="L368" s="1"/>
      <c r="M368" s="1"/>
      <c r="O368" s="2"/>
      <c r="P368" s="2"/>
    </row>
    <row r="369" spans="1:16" x14ac:dyDescent="0.25">
      <c r="A369" s="2"/>
      <c r="B369" s="2"/>
      <c r="F369" s="1"/>
      <c r="G369" s="1"/>
      <c r="I369" s="1"/>
      <c r="J369" s="1"/>
      <c r="L369" s="1"/>
      <c r="M369" s="1"/>
      <c r="O369" s="2"/>
      <c r="P369" s="2"/>
    </row>
    <row r="370" spans="1:16" x14ac:dyDescent="0.25">
      <c r="A370" s="2"/>
      <c r="B370" s="2"/>
      <c r="F370" s="1"/>
      <c r="G370" s="1"/>
      <c r="I370" s="1"/>
      <c r="J370" s="1"/>
      <c r="L370" s="1"/>
      <c r="M370" s="1"/>
      <c r="O370" s="2"/>
      <c r="P370" s="2"/>
    </row>
    <row r="371" spans="1:16" x14ac:dyDescent="0.25">
      <c r="A371" s="2"/>
      <c r="B371" s="2"/>
      <c r="F371" s="1"/>
      <c r="G371" s="1"/>
      <c r="I371" s="1"/>
      <c r="J371" s="1"/>
      <c r="L371" s="1"/>
      <c r="M371" s="1"/>
      <c r="O371" s="2"/>
      <c r="P371" s="2"/>
    </row>
    <row r="372" spans="1:16" x14ac:dyDescent="0.25">
      <c r="A372" s="2"/>
      <c r="B372" s="2"/>
      <c r="F372" s="1"/>
      <c r="G372" s="1"/>
      <c r="I372" s="1"/>
      <c r="J372" s="1"/>
      <c r="L372" s="1"/>
      <c r="M372" s="1"/>
      <c r="O372" s="2"/>
      <c r="P372" s="2"/>
    </row>
    <row r="373" spans="1:16" x14ac:dyDescent="0.25">
      <c r="A373" s="2"/>
      <c r="B373" s="2"/>
      <c r="F373" s="1"/>
      <c r="G373" s="1"/>
      <c r="I373" s="1"/>
      <c r="J373" s="1"/>
      <c r="L373" s="1"/>
      <c r="M373" s="1"/>
      <c r="O373" s="2"/>
      <c r="P373" s="2"/>
    </row>
    <row r="374" spans="1:16" x14ac:dyDescent="0.25">
      <c r="A374" s="2"/>
      <c r="B374" s="2"/>
      <c r="F374" s="1"/>
      <c r="G374" s="1"/>
      <c r="I374" s="1"/>
      <c r="J374" s="1"/>
      <c r="L374" s="1"/>
      <c r="M374" s="1"/>
      <c r="O374" s="2"/>
      <c r="P374" s="2"/>
    </row>
    <row r="375" spans="1:16" x14ac:dyDescent="0.25">
      <c r="A375" s="2"/>
      <c r="B375" s="2"/>
      <c r="F375" s="1"/>
      <c r="G375" s="1"/>
      <c r="I375" s="1"/>
      <c r="J375" s="1"/>
      <c r="L375" s="1"/>
      <c r="M375" s="1"/>
      <c r="O375" s="2"/>
      <c r="P375" s="2"/>
    </row>
    <row r="376" spans="1:16" x14ac:dyDescent="0.25">
      <c r="A376" s="2"/>
      <c r="B376" s="2"/>
      <c r="F376" s="1"/>
      <c r="G376" s="1"/>
      <c r="I376" s="1"/>
      <c r="J376" s="1"/>
      <c r="L376" s="1"/>
      <c r="M376" s="1"/>
      <c r="O376" s="2"/>
      <c r="P376" s="2"/>
    </row>
    <row r="377" spans="1:16" x14ac:dyDescent="0.25">
      <c r="A377" s="2"/>
      <c r="B377" s="2"/>
      <c r="F377" s="1"/>
      <c r="G377" s="1"/>
      <c r="I377" s="1"/>
      <c r="J377" s="1"/>
      <c r="L377" s="1"/>
      <c r="M377" s="1"/>
      <c r="O377" s="2"/>
      <c r="P377" s="2"/>
    </row>
    <row r="378" spans="1:16" x14ac:dyDescent="0.25">
      <c r="A378" s="2"/>
      <c r="B378" s="2"/>
      <c r="F378" s="1"/>
      <c r="G378" s="1"/>
      <c r="I378" s="1"/>
      <c r="J378" s="1"/>
      <c r="L378" s="1"/>
      <c r="M378" s="1"/>
      <c r="O378" s="2"/>
      <c r="P378" s="2"/>
    </row>
    <row r="379" spans="1:16" x14ac:dyDescent="0.25">
      <c r="A379" s="2"/>
      <c r="B379" s="2"/>
      <c r="F379" s="1"/>
      <c r="G379" s="1"/>
      <c r="I379" s="1"/>
      <c r="J379" s="1"/>
      <c r="L379" s="1"/>
      <c r="M379" s="1"/>
      <c r="O379" s="2"/>
      <c r="P379" s="2"/>
    </row>
    <row r="380" spans="1:16" x14ac:dyDescent="0.25">
      <c r="A380" s="2"/>
      <c r="B380" s="2"/>
      <c r="F380" s="1"/>
      <c r="G380" s="1"/>
      <c r="I380" s="1"/>
      <c r="J380" s="1"/>
      <c r="L380" s="1"/>
      <c r="M380" s="1"/>
      <c r="O380" s="2"/>
      <c r="P380" s="2"/>
    </row>
    <row r="381" spans="1:16" x14ac:dyDescent="0.25">
      <c r="A381" s="2"/>
      <c r="B381" s="2"/>
      <c r="F381" s="1"/>
      <c r="G381" s="1"/>
      <c r="I381" s="1"/>
      <c r="J381" s="1"/>
      <c r="L381" s="1"/>
      <c r="M381" s="1"/>
      <c r="O381" s="2"/>
      <c r="P381" s="2"/>
    </row>
    <row r="382" spans="1:16" x14ac:dyDescent="0.25">
      <c r="A382" s="2"/>
      <c r="B382" s="2"/>
      <c r="F382" s="1"/>
      <c r="G382" s="1"/>
      <c r="I382" s="1"/>
      <c r="J382" s="1"/>
      <c r="L382" s="1"/>
      <c r="M382" s="1"/>
      <c r="O382" s="2"/>
      <c r="P382" s="2"/>
    </row>
    <row r="383" spans="1:16" x14ac:dyDescent="0.25">
      <c r="A383" s="2"/>
      <c r="B383" s="2"/>
      <c r="F383" s="1"/>
      <c r="G383" s="1"/>
      <c r="I383" s="1"/>
      <c r="J383" s="1"/>
      <c r="L383" s="1"/>
      <c r="M383" s="1"/>
      <c r="O383" s="2"/>
      <c r="P383" s="2"/>
    </row>
    <row r="384" spans="1:16" x14ac:dyDescent="0.25">
      <c r="A384" s="2"/>
      <c r="B384" s="2"/>
      <c r="F384" s="1"/>
      <c r="G384" s="1"/>
      <c r="I384" s="1"/>
      <c r="J384" s="1"/>
      <c r="L384" s="1"/>
      <c r="M384" s="1"/>
      <c r="O384" s="2"/>
      <c r="P384" s="2"/>
    </row>
    <row r="385" spans="1:16" x14ac:dyDescent="0.25">
      <c r="A385" s="2"/>
      <c r="B385" s="2"/>
      <c r="F385" s="1"/>
      <c r="G385" s="1"/>
      <c r="I385" s="1"/>
      <c r="J385" s="1"/>
      <c r="L385" s="1"/>
      <c r="M385" s="1"/>
      <c r="O385" s="2"/>
      <c r="P385" s="2"/>
    </row>
    <row r="386" spans="1:16" x14ac:dyDescent="0.25">
      <c r="A386" s="2"/>
      <c r="B386" s="2"/>
      <c r="F386" s="1"/>
      <c r="G386" s="1"/>
      <c r="I386" s="1"/>
      <c r="J386" s="1"/>
      <c r="L386" s="1"/>
      <c r="M386" s="1"/>
      <c r="O386" s="2"/>
      <c r="P386" s="2"/>
    </row>
    <row r="387" spans="1:16" x14ac:dyDescent="0.25">
      <c r="A387" s="2"/>
      <c r="B387" s="2"/>
      <c r="F387" s="1"/>
      <c r="G387" s="1"/>
      <c r="I387" s="1"/>
      <c r="J387" s="1"/>
      <c r="L387" s="1"/>
      <c r="M387" s="1"/>
      <c r="O387" s="2"/>
      <c r="P387" s="2"/>
    </row>
    <row r="388" spans="1:16" x14ac:dyDescent="0.25">
      <c r="A388" s="2"/>
      <c r="B388" s="2"/>
      <c r="F388" s="1"/>
      <c r="G388" s="1"/>
      <c r="I388" s="1"/>
      <c r="J388" s="1"/>
      <c r="L388" s="1"/>
      <c r="M388" s="1"/>
      <c r="O388" s="2"/>
      <c r="P388" s="2"/>
    </row>
    <row r="389" spans="1:16" x14ac:dyDescent="0.25">
      <c r="A389" s="2"/>
      <c r="B389" s="2"/>
      <c r="F389" s="1"/>
      <c r="G389" s="1"/>
      <c r="I389" s="1"/>
      <c r="J389" s="1"/>
      <c r="L389" s="1"/>
      <c r="M389" s="1"/>
      <c r="O389" s="2"/>
      <c r="P389" s="2"/>
    </row>
    <row r="390" spans="1:16" x14ac:dyDescent="0.25">
      <c r="A390" s="2"/>
      <c r="B390" s="2"/>
      <c r="F390" s="1"/>
      <c r="G390" s="1"/>
      <c r="I390" s="1"/>
      <c r="J390" s="1"/>
      <c r="L390" s="1"/>
      <c r="M390" s="1"/>
      <c r="O390" s="2"/>
      <c r="P390" s="2"/>
    </row>
    <row r="391" spans="1:16" x14ac:dyDescent="0.25">
      <c r="A391" s="2"/>
      <c r="B391" s="2"/>
      <c r="F391" s="1"/>
      <c r="G391" s="1"/>
      <c r="I391" s="1"/>
      <c r="J391" s="1"/>
      <c r="L391" s="1"/>
      <c r="M391" s="1"/>
      <c r="O391" s="2"/>
      <c r="P391" s="2"/>
    </row>
    <row r="392" spans="1:16" x14ac:dyDescent="0.25">
      <c r="A392" s="2"/>
      <c r="B392" s="2"/>
      <c r="F392" s="1"/>
      <c r="G392" s="1"/>
      <c r="I392" s="1"/>
      <c r="J392" s="1"/>
      <c r="L392" s="1"/>
      <c r="M392" s="1"/>
      <c r="O392" s="2"/>
      <c r="P392" s="2"/>
    </row>
    <row r="393" spans="1:16" x14ac:dyDescent="0.25">
      <c r="A393" s="2"/>
      <c r="B393" s="2"/>
      <c r="F393" s="1"/>
      <c r="G393" s="1"/>
      <c r="I393" s="1"/>
      <c r="J393" s="1"/>
      <c r="L393" s="1"/>
      <c r="M393" s="1"/>
      <c r="O393" s="2"/>
      <c r="P393" s="2"/>
    </row>
    <row r="394" spans="1:16" x14ac:dyDescent="0.25">
      <c r="A394" s="2"/>
      <c r="B394" s="2"/>
      <c r="F394" s="1"/>
      <c r="G394" s="1"/>
      <c r="I394" s="1"/>
      <c r="J394" s="1"/>
      <c r="L394" s="1"/>
      <c r="M394" s="1"/>
      <c r="O394" s="2"/>
      <c r="P394" s="2"/>
    </row>
    <row r="395" spans="1:16" x14ac:dyDescent="0.25">
      <c r="A395" s="2"/>
      <c r="B395" s="2"/>
      <c r="F395" s="1"/>
      <c r="G395" s="1"/>
      <c r="I395" s="1"/>
      <c r="J395" s="1"/>
      <c r="L395" s="1"/>
      <c r="M395" s="1"/>
      <c r="O395" s="2"/>
      <c r="P395" s="2"/>
    </row>
    <row r="396" spans="1:16" x14ac:dyDescent="0.25">
      <c r="A396" s="2"/>
      <c r="B396" s="2"/>
      <c r="F396" s="1"/>
      <c r="G396" s="1"/>
      <c r="I396" s="1"/>
      <c r="J396" s="1"/>
      <c r="L396" s="1"/>
      <c r="M396" s="1"/>
      <c r="O396" s="2"/>
      <c r="P396" s="2"/>
    </row>
    <row r="397" spans="1:16" x14ac:dyDescent="0.25">
      <c r="A397" s="2"/>
      <c r="B397" s="2"/>
      <c r="F397" s="1"/>
      <c r="G397" s="1"/>
      <c r="I397" s="1"/>
      <c r="J397" s="1"/>
      <c r="L397" s="1"/>
      <c r="M397" s="1"/>
      <c r="O397" s="2"/>
      <c r="P397" s="2"/>
    </row>
    <row r="398" spans="1:16" x14ac:dyDescent="0.25">
      <c r="A398" s="2"/>
      <c r="B398" s="2"/>
      <c r="F398" s="1"/>
      <c r="G398" s="1"/>
      <c r="I398" s="1"/>
      <c r="J398" s="1"/>
      <c r="L398" s="1"/>
      <c r="M398" s="1"/>
      <c r="O398" s="2"/>
      <c r="P398" s="2"/>
    </row>
    <row r="399" spans="1:16" x14ac:dyDescent="0.25">
      <c r="A399" s="2"/>
      <c r="B399" s="2"/>
      <c r="F399" s="1"/>
      <c r="G399" s="1"/>
      <c r="I399" s="1"/>
      <c r="J399" s="1"/>
      <c r="L399" s="1"/>
      <c r="M399" s="1"/>
      <c r="O399" s="2"/>
      <c r="P399" s="2"/>
    </row>
    <row r="400" spans="1:16" x14ac:dyDescent="0.25">
      <c r="A400" s="2"/>
      <c r="B400" s="2"/>
      <c r="F400" s="1"/>
      <c r="G400" s="1"/>
      <c r="I400" s="1"/>
      <c r="J400" s="1"/>
      <c r="L400" s="1"/>
      <c r="M400" s="1"/>
      <c r="O400" s="2"/>
      <c r="P400" s="2"/>
    </row>
    <row r="401" spans="1:16" x14ac:dyDescent="0.25">
      <c r="A401" s="2"/>
      <c r="B401" s="2"/>
      <c r="F401" s="1"/>
      <c r="G401" s="1"/>
      <c r="I401" s="1"/>
      <c r="J401" s="1"/>
      <c r="L401" s="1"/>
      <c r="M401" s="1"/>
      <c r="O401" s="2"/>
      <c r="P401" s="2"/>
    </row>
    <row r="402" spans="1:16" x14ac:dyDescent="0.25">
      <c r="A402" s="2"/>
      <c r="B402" s="2"/>
      <c r="F402" s="1"/>
      <c r="G402" s="1"/>
      <c r="I402" s="1"/>
      <c r="J402" s="1"/>
      <c r="L402" s="1"/>
      <c r="M402" s="1"/>
      <c r="O402" s="2"/>
      <c r="P402" s="2"/>
    </row>
    <row r="403" spans="1:16" x14ac:dyDescent="0.25">
      <c r="A403" s="2"/>
      <c r="B403" s="2"/>
      <c r="F403" s="1"/>
      <c r="G403" s="1"/>
      <c r="I403" s="1"/>
      <c r="J403" s="1"/>
      <c r="L403" s="1"/>
      <c r="M403" s="1"/>
      <c r="O403" s="2"/>
      <c r="P403" s="2"/>
    </row>
    <row r="404" spans="1:16" x14ac:dyDescent="0.25">
      <c r="A404" s="2"/>
      <c r="B404" s="2"/>
      <c r="F404" s="1"/>
      <c r="G404" s="1"/>
      <c r="I404" s="1"/>
      <c r="J404" s="1"/>
      <c r="L404" s="1"/>
      <c r="M404" s="1"/>
      <c r="O404" s="2"/>
      <c r="P404" s="2"/>
    </row>
    <row r="405" spans="1:16" x14ac:dyDescent="0.25">
      <c r="A405" s="2"/>
      <c r="B405" s="2"/>
      <c r="F405" s="1"/>
      <c r="G405" s="1"/>
      <c r="I405" s="1"/>
      <c r="J405" s="1"/>
      <c r="L405" s="1"/>
      <c r="M405" s="1"/>
      <c r="O405" s="2"/>
      <c r="P405" s="2"/>
    </row>
    <row r="406" spans="1:16" x14ac:dyDescent="0.25">
      <c r="A406" s="2"/>
      <c r="B406" s="2"/>
      <c r="F406" s="1"/>
      <c r="G406" s="1"/>
      <c r="I406" s="1"/>
      <c r="J406" s="1"/>
      <c r="L406" s="1"/>
      <c r="M406" s="1"/>
      <c r="O406" s="2"/>
      <c r="P406" s="2"/>
    </row>
    <row r="407" spans="1:16" x14ac:dyDescent="0.25">
      <c r="A407" s="2"/>
      <c r="B407" s="2"/>
      <c r="F407" s="1"/>
      <c r="G407" s="1"/>
      <c r="I407" s="1"/>
      <c r="J407" s="1"/>
      <c r="L407" s="1"/>
      <c r="M407" s="1"/>
      <c r="O407" s="2"/>
      <c r="P407" s="2"/>
    </row>
    <row r="408" spans="1:16" x14ac:dyDescent="0.25">
      <c r="A408" s="2"/>
      <c r="B408" s="2"/>
      <c r="F408" s="1"/>
      <c r="G408" s="1"/>
      <c r="I408" s="1"/>
      <c r="J408" s="1"/>
      <c r="L408" s="1"/>
      <c r="M408" s="1"/>
      <c r="O408" s="2"/>
      <c r="P408" s="2"/>
    </row>
    <row r="409" spans="1:16" x14ac:dyDescent="0.25">
      <c r="A409" s="2"/>
      <c r="B409" s="2"/>
      <c r="F409" s="1"/>
      <c r="G409" s="1"/>
      <c r="I409" s="1"/>
      <c r="J409" s="1"/>
      <c r="L409" s="1"/>
      <c r="M409" s="1"/>
      <c r="O409" s="2"/>
      <c r="P409" s="2"/>
    </row>
    <row r="410" spans="1:16" x14ac:dyDescent="0.25">
      <c r="A410" s="2"/>
      <c r="B410" s="2"/>
      <c r="F410" s="1"/>
      <c r="G410" s="1"/>
      <c r="I410" s="1"/>
      <c r="J410" s="1"/>
      <c r="L410" s="1"/>
      <c r="M410" s="1"/>
      <c r="O410" s="2"/>
      <c r="P410" s="2"/>
    </row>
    <row r="411" spans="1:16" x14ac:dyDescent="0.25">
      <c r="A411" s="2"/>
      <c r="B411" s="2"/>
      <c r="F411" s="1"/>
      <c r="G411" s="1"/>
      <c r="I411" s="1"/>
      <c r="J411" s="1"/>
      <c r="L411" s="1"/>
      <c r="M411" s="1"/>
      <c r="O411" s="2"/>
      <c r="P411" s="2"/>
    </row>
    <row r="412" spans="1:16" x14ac:dyDescent="0.25">
      <c r="A412" s="2"/>
      <c r="B412" s="2"/>
      <c r="F412" s="1"/>
      <c r="G412" s="1"/>
      <c r="I412" s="1"/>
      <c r="J412" s="1"/>
      <c r="L412" s="1"/>
      <c r="M412" s="1"/>
      <c r="O412" s="2"/>
      <c r="P412" s="2"/>
    </row>
    <row r="413" spans="1:16" x14ac:dyDescent="0.25">
      <c r="A413" s="2"/>
      <c r="B413" s="2"/>
      <c r="F413" s="1"/>
      <c r="G413" s="1"/>
      <c r="I413" s="1"/>
      <c r="J413" s="1"/>
      <c r="L413" s="1"/>
      <c r="M413" s="1"/>
      <c r="O413" s="2"/>
      <c r="P413" s="2"/>
    </row>
    <row r="414" spans="1:16" x14ac:dyDescent="0.25">
      <c r="A414" s="2"/>
      <c r="B414" s="2"/>
      <c r="F414" s="1"/>
      <c r="G414" s="1"/>
      <c r="I414" s="1"/>
      <c r="J414" s="1"/>
      <c r="L414" s="1"/>
      <c r="M414" s="1"/>
      <c r="O414" s="2"/>
      <c r="P414" s="2"/>
    </row>
    <row r="415" spans="1:16" x14ac:dyDescent="0.25">
      <c r="A415" s="2"/>
      <c r="B415" s="2"/>
      <c r="F415" s="1"/>
      <c r="G415" s="1"/>
      <c r="I415" s="1"/>
      <c r="J415" s="1"/>
      <c r="L415" s="1"/>
      <c r="M415" s="1"/>
      <c r="O415" s="2"/>
      <c r="P415" s="2"/>
    </row>
    <row r="416" spans="1:16" x14ac:dyDescent="0.25">
      <c r="A416" s="2"/>
      <c r="B416" s="2"/>
      <c r="F416" s="1"/>
      <c r="G416" s="1"/>
      <c r="I416" s="1"/>
      <c r="J416" s="1"/>
      <c r="L416" s="1"/>
      <c r="M416" s="1"/>
      <c r="O416" s="2"/>
      <c r="P416" s="2"/>
    </row>
    <row r="417" spans="1:16" x14ac:dyDescent="0.25">
      <c r="A417" s="2"/>
      <c r="B417" s="2"/>
      <c r="F417" s="1"/>
      <c r="G417" s="1"/>
      <c r="I417" s="1"/>
      <c r="J417" s="1"/>
      <c r="L417" s="1"/>
      <c r="M417" s="1"/>
      <c r="O417" s="2"/>
      <c r="P417" s="2"/>
    </row>
    <row r="418" spans="1:16" x14ac:dyDescent="0.25">
      <c r="A418" s="2"/>
      <c r="B418" s="2"/>
      <c r="F418" s="1"/>
      <c r="G418" s="1"/>
      <c r="I418" s="1"/>
      <c r="J418" s="1"/>
      <c r="L418" s="1"/>
      <c r="M418" s="1"/>
      <c r="O418" s="2"/>
      <c r="P418" s="2"/>
    </row>
    <row r="419" spans="1:16" x14ac:dyDescent="0.25">
      <c r="A419" s="2"/>
      <c r="B419" s="2"/>
      <c r="F419" s="1"/>
      <c r="G419" s="1"/>
      <c r="I419" s="1"/>
      <c r="J419" s="1"/>
      <c r="L419" s="1"/>
      <c r="M419" s="1"/>
      <c r="O419" s="2"/>
      <c r="P419" s="2"/>
    </row>
    <row r="420" spans="1:16" x14ac:dyDescent="0.25">
      <c r="A420" s="2"/>
      <c r="B420" s="2"/>
      <c r="F420" s="1"/>
      <c r="G420" s="1"/>
      <c r="I420" s="1"/>
      <c r="J420" s="1"/>
      <c r="L420" s="1"/>
      <c r="M420" s="1"/>
      <c r="O420" s="2"/>
      <c r="P420" s="2"/>
    </row>
    <row r="421" spans="1:16" x14ac:dyDescent="0.25">
      <c r="A421" s="2"/>
      <c r="B421" s="2"/>
      <c r="F421" s="1"/>
      <c r="G421" s="1"/>
      <c r="I421" s="1"/>
      <c r="J421" s="1"/>
      <c r="L421" s="1"/>
      <c r="M421" s="1"/>
      <c r="O421" s="2"/>
      <c r="P421" s="2"/>
    </row>
    <row r="422" spans="1:16" x14ac:dyDescent="0.25">
      <c r="A422" s="2"/>
      <c r="B422" s="2"/>
      <c r="F422" s="1"/>
      <c r="G422" s="1"/>
      <c r="I422" s="1"/>
      <c r="J422" s="1"/>
      <c r="L422" s="1"/>
      <c r="M422" s="1"/>
      <c r="O422" s="2"/>
      <c r="P422" s="2"/>
    </row>
    <row r="423" spans="1:16" x14ac:dyDescent="0.25">
      <c r="A423" s="2"/>
      <c r="B423" s="2"/>
      <c r="F423" s="1"/>
      <c r="G423" s="1"/>
      <c r="I423" s="1"/>
      <c r="J423" s="1"/>
      <c r="L423" s="1"/>
      <c r="M423" s="1"/>
      <c r="O423" s="2"/>
      <c r="P423" s="2"/>
    </row>
    <row r="424" spans="1:16" x14ac:dyDescent="0.25">
      <c r="A424" s="2"/>
      <c r="B424" s="2"/>
      <c r="F424" s="1"/>
      <c r="G424" s="1"/>
      <c r="I424" s="1"/>
      <c r="J424" s="1"/>
      <c r="L424" s="1"/>
      <c r="M424" s="1"/>
      <c r="O424" s="2"/>
      <c r="P424" s="2"/>
    </row>
    <row r="425" spans="1:16" x14ac:dyDescent="0.25">
      <c r="A425" s="2"/>
      <c r="B425" s="2"/>
      <c r="F425" s="1"/>
      <c r="G425" s="1"/>
      <c r="I425" s="1"/>
      <c r="J425" s="1"/>
      <c r="L425" s="1"/>
      <c r="M425" s="1"/>
      <c r="O425" s="2"/>
      <c r="P425" s="2"/>
    </row>
    <row r="426" spans="1:16" x14ac:dyDescent="0.25">
      <c r="A426" s="2"/>
      <c r="B426" s="2"/>
      <c r="F426" s="1"/>
      <c r="G426" s="1"/>
      <c r="I426" s="1"/>
      <c r="J426" s="1"/>
      <c r="L426" s="1"/>
      <c r="M426" s="1"/>
      <c r="O426" s="2"/>
      <c r="P426" s="2"/>
    </row>
    <row r="427" spans="1:16" x14ac:dyDescent="0.25">
      <c r="A427" s="2"/>
      <c r="B427" s="2"/>
      <c r="F427" s="1"/>
      <c r="G427" s="1"/>
      <c r="I427" s="1"/>
      <c r="J427" s="1"/>
      <c r="L427" s="1"/>
      <c r="M427" s="1"/>
      <c r="O427" s="2"/>
      <c r="P427" s="2"/>
    </row>
    <row r="428" spans="1:16" x14ac:dyDescent="0.25">
      <c r="A428" s="2"/>
      <c r="B428" s="2"/>
      <c r="F428" s="1"/>
      <c r="G428" s="1"/>
      <c r="I428" s="1"/>
      <c r="J428" s="1"/>
      <c r="L428" s="1"/>
      <c r="M428" s="1"/>
      <c r="O428" s="2"/>
      <c r="P428" s="2"/>
    </row>
    <row r="429" spans="1:16" x14ac:dyDescent="0.25">
      <c r="A429" s="2"/>
      <c r="B429" s="2"/>
      <c r="F429" s="1"/>
      <c r="G429" s="1"/>
      <c r="I429" s="1"/>
      <c r="J429" s="1"/>
      <c r="L429" s="1"/>
      <c r="M429" s="1"/>
      <c r="O429" s="2"/>
      <c r="P429" s="2"/>
    </row>
    <row r="430" spans="1:16" x14ac:dyDescent="0.25">
      <c r="A430" s="2"/>
      <c r="B430" s="2"/>
      <c r="F430" s="1"/>
      <c r="G430" s="1"/>
      <c r="I430" s="1"/>
      <c r="J430" s="1"/>
      <c r="L430" s="1"/>
      <c r="M430" s="1"/>
      <c r="O430" s="2"/>
      <c r="P430" s="2"/>
    </row>
    <row r="431" spans="1:16" x14ac:dyDescent="0.25">
      <c r="A431" s="2"/>
      <c r="B431" s="2"/>
      <c r="F431" s="1"/>
      <c r="G431" s="1"/>
      <c r="I431" s="1"/>
      <c r="J431" s="1"/>
      <c r="L431" s="1"/>
      <c r="M431" s="1"/>
      <c r="O431" s="2"/>
      <c r="P431" s="2"/>
    </row>
    <row r="432" spans="1:16" x14ac:dyDescent="0.25">
      <c r="A432" s="2"/>
      <c r="B432" s="2"/>
      <c r="F432" s="1"/>
      <c r="G432" s="1"/>
      <c r="I432" s="1"/>
      <c r="J432" s="1"/>
      <c r="L432" s="1"/>
      <c r="M432" s="1"/>
      <c r="O432" s="2"/>
      <c r="P432" s="2"/>
    </row>
    <row r="433" spans="1:16" x14ac:dyDescent="0.25">
      <c r="A433" s="2"/>
      <c r="B433" s="2"/>
      <c r="F433" s="1"/>
      <c r="G433" s="1"/>
      <c r="I433" s="1"/>
      <c r="J433" s="1"/>
      <c r="L433" s="1"/>
      <c r="M433" s="1"/>
      <c r="O433" s="2"/>
      <c r="P433" s="2"/>
    </row>
    <row r="434" spans="1:16" x14ac:dyDescent="0.25">
      <c r="A434" s="2"/>
      <c r="B434" s="2"/>
      <c r="F434" s="1"/>
      <c r="G434" s="1"/>
      <c r="I434" s="1"/>
      <c r="J434" s="1"/>
      <c r="L434" s="1"/>
      <c r="M434" s="1"/>
      <c r="O434" s="2"/>
      <c r="P434" s="2"/>
    </row>
    <row r="435" spans="1:16" x14ac:dyDescent="0.25">
      <c r="A435" s="2"/>
      <c r="B435" s="2"/>
      <c r="F435" s="1"/>
      <c r="G435" s="1"/>
      <c r="I435" s="1"/>
      <c r="J435" s="1"/>
      <c r="L435" s="1"/>
      <c r="M435" s="1"/>
      <c r="O435" s="2"/>
      <c r="P435" s="2"/>
    </row>
    <row r="436" spans="1:16" x14ac:dyDescent="0.25">
      <c r="A436" s="2"/>
      <c r="B436" s="2"/>
      <c r="F436" s="1"/>
      <c r="G436" s="1"/>
      <c r="I436" s="1"/>
      <c r="J436" s="1"/>
      <c r="L436" s="1"/>
      <c r="M436" s="1"/>
      <c r="O436" s="2"/>
      <c r="P436" s="2"/>
    </row>
    <row r="437" spans="1:16" x14ac:dyDescent="0.25">
      <c r="A437" s="2"/>
      <c r="B437" s="2"/>
      <c r="F437" s="1"/>
      <c r="G437" s="1"/>
      <c r="I437" s="1"/>
      <c r="J437" s="1"/>
      <c r="L437" s="1"/>
      <c r="M437" s="1"/>
      <c r="O437" s="2"/>
      <c r="P437" s="2"/>
    </row>
    <row r="438" spans="1:16" x14ac:dyDescent="0.25">
      <c r="A438" s="2"/>
      <c r="B438" s="2"/>
      <c r="F438" s="1"/>
      <c r="G438" s="1"/>
      <c r="I438" s="1"/>
      <c r="J438" s="1"/>
      <c r="L438" s="1"/>
      <c r="M438" s="1"/>
      <c r="O438" s="2"/>
      <c r="P438" s="2"/>
    </row>
    <row r="439" spans="1:16" x14ac:dyDescent="0.25">
      <c r="A439" s="2"/>
      <c r="B439" s="2"/>
      <c r="F439" s="1"/>
      <c r="G439" s="1"/>
      <c r="I439" s="1"/>
      <c r="J439" s="1"/>
      <c r="L439" s="1"/>
      <c r="M439" s="1"/>
      <c r="O439" s="2"/>
      <c r="P439" s="2"/>
    </row>
    <row r="440" spans="1:16" x14ac:dyDescent="0.25">
      <c r="A440" s="2"/>
      <c r="B440" s="2"/>
      <c r="F440" s="1"/>
      <c r="G440" s="1"/>
      <c r="I440" s="1"/>
      <c r="J440" s="1"/>
      <c r="L440" s="1"/>
      <c r="M440" s="1"/>
      <c r="O440" s="2"/>
      <c r="P440" s="2"/>
    </row>
    <row r="441" spans="1:16" x14ac:dyDescent="0.25">
      <c r="A441" s="2"/>
      <c r="B441" s="2"/>
      <c r="F441" s="1"/>
      <c r="G441" s="1"/>
      <c r="I441" s="1"/>
      <c r="J441" s="1"/>
      <c r="L441" s="1"/>
      <c r="M441" s="1"/>
      <c r="O441" s="2"/>
      <c r="P441" s="2"/>
    </row>
    <row r="442" spans="1:16" x14ac:dyDescent="0.25">
      <c r="A442" s="2"/>
      <c r="B442" s="2"/>
      <c r="F442" s="1"/>
      <c r="G442" s="1"/>
      <c r="I442" s="1"/>
      <c r="J442" s="1"/>
      <c r="L442" s="1"/>
      <c r="M442" s="1"/>
      <c r="O442" s="2"/>
      <c r="P442" s="2"/>
    </row>
    <row r="443" spans="1:16" x14ac:dyDescent="0.25">
      <c r="A443" s="2"/>
      <c r="B443" s="2"/>
      <c r="F443" s="1"/>
      <c r="G443" s="1"/>
      <c r="I443" s="1"/>
      <c r="J443" s="1"/>
      <c r="L443" s="1"/>
      <c r="M443" s="1"/>
      <c r="O443" s="2"/>
      <c r="P443" s="2"/>
    </row>
    <row r="444" spans="1:16" x14ac:dyDescent="0.25">
      <c r="A444" s="2"/>
      <c r="B444" s="2"/>
      <c r="F444" s="1"/>
      <c r="G444" s="1"/>
      <c r="I444" s="1"/>
      <c r="J444" s="1"/>
      <c r="L444" s="1"/>
      <c r="M444" s="1"/>
      <c r="O444" s="2"/>
      <c r="P444" s="2"/>
    </row>
    <row r="445" spans="1:16" x14ac:dyDescent="0.25">
      <c r="A445" s="2"/>
      <c r="B445" s="2"/>
      <c r="F445" s="1"/>
      <c r="G445" s="1"/>
      <c r="I445" s="1"/>
      <c r="J445" s="1"/>
      <c r="L445" s="1"/>
      <c r="M445" s="1"/>
      <c r="O445" s="2"/>
      <c r="P445" s="2"/>
    </row>
    <row r="446" spans="1:16" x14ac:dyDescent="0.25">
      <c r="A446" s="2"/>
      <c r="B446" s="2"/>
      <c r="F446" s="1"/>
      <c r="G446" s="1"/>
      <c r="I446" s="1"/>
      <c r="J446" s="1"/>
      <c r="L446" s="1"/>
      <c r="M446" s="1"/>
      <c r="O446" s="2"/>
      <c r="P446" s="2"/>
    </row>
    <row r="447" spans="1:16" x14ac:dyDescent="0.25">
      <c r="A447" s="2"/>
      <c r="B447" s="2"/>
      <c r="F447" s="1"/>
      <c r="G447" s="1"/>
      <c r="I447" s="1"/>
      <c r="J447" s="1"/>
      <c r="L447" s="1"/>
      <c r="M447" s="1"/>
      <c r="O447" s="2"/>
      <c r="P447" s="2"/>
    </row>
    <row r="448" spans="1:16" x14ac:dyDescent="0.25">
      <c r="A448" s="2"/>
      <c r="B448" s="2"/>
      <c r="F448" s="1"/>
      <c r="G448" s="1"/>
      <c r="I448" s="1"/>
      <c r="J448" s="1"/>
      <c r="L448" s="1"/>
      <c r="M448" s="1"/>
      <c r="O448" s="2"/>
      <c r="P448" s="2"/>
    </row>
    <row r="449" spans="1:16" x14ac:dyDescent="0.25">
      <c r="A449" s="2"/>
      <c r="B449" s="2"/>
      <c r="F449" s="1"/>
      <c r="G449" s="1"/>
      <c r="I449" s="1"/>
      <c r="J449" s="1"/>
      <c r="L449" s="1"/>
      <c r="M449" s="1"/>
      <c r="O449" s="2"/>
      <c r="P449" s="2"/>
    </row>
    <row r="450" spans="1:16" x14ac:dyDescent="0.25">
      <c r="A450" s="2"/>
      <c r="B450" s="2"/>
      <c r="F450" s="1"/>
      <c r="G450" s="1"/>
      <c r="I450" s="1"/>
      <c r="J450" s="1"/>
      <c r="L450" s="1"/>
      <c r="M450" s="1"/>
      <c r="O450" s="2"/>
      <c r="P450" s="2"/>
    </row>
    <row r="451" spans="1:16" x14ac:dyDescent="0.25">
      <c r="A451" s="2"/>
      <c r="B451" s="2"/>
      <c r="F451" s="1"/>
      <c r="G451" s="1"/>
      <c r="I451" s="1"/>
      <c r="J451" s="1"/>
      <c r="L451" s="1"/>
      <c r="M451" s="1"/>
      <c r="O451" s="2"/>
      <c r="P451" s="2"/>
    </row>
    <row r="452" spans="1:16" x14ac:dyDescent="0.25">
      <c r="A452" s="2"/>
      <c r="B452" s="2"/>
      <c r="F452" s="1"/>
      <c r="G452" s="1"/>
      <c r="I452" s="1"/>
      <c r="J452" s="1"/>
      <c r="L452" s="1"/>
      <c r="M452" s="1"/>
      <c r="O452" s="2"/>
      <c r="P452" s="2"/>
    </row>
    <row r="453" spans="1:16" x14ac:dyDescent="0.25">
      <c r="A453" s="2"/>
      <c r="B453" s="2"/>
      <c r="F453" s="1"/>
      <c r="G453" s="1"/>
      <c r="I453" s="1"/>
      <c r="J453" s="1"/>
      <c r="L453" s="1"/>
      <c r="M453" s="1"/>
      <c r="O453" s="2"/>
      <c r="P453" s="2"/>
    </row>
    <row r="454" spans="1:16" x14ac:dyDescent="0.25">
      <c r="A454" s="2"/>
      <c r="B454" s="2"/>
      <c r="F454" s="1"/>
      <c r="G454" s="1"/>
      <c r="I454" s="1"/>
      <c r="J454" s="1"/>
      <c r="L454" s="1"/>
      <c r="M454" s="1"/>
      <c r="O454" s="2"/>
      <c r="P454" s="2"/>
    </row>
    <row r="455" spans="1:16" x14ac:dyDescent="0.25">
      <c r="A455" s="2"/>
      <c r="B455" s="2"/>
      <c r="F455" s="1"/>
      <c r="G455" s="1"/>
      <c r="I455" s="1"/>
      <c r="J455" s="1"/>
      <c r="L455" s="1"/>
      <c r="M455" s="1"/>
      <c r="O455" s="2"/>
      <c r="P455" s="2"/>
    </row>
    <row r="456" spans="1:16" x14ac:dyDescent="0.25">
      <c r="A456" s="2"/>
      <c r="B456" s="2"/>
      <c r="F456" s="1"/>
      <c r="G456" s="1"/>
      <c r="I456" s="1"/>
      <c r="J456" s="1"/>
      <c r="L456" s="1"/>
      <c r="M456" s="1"/>
      <c r="O456" s="2"/>
      <c r="P456" s="2"/>
    </row>
    <row r="457" spans="1:16" x14ac:dyDescent="0.25">
      <c r="A457" s="2"/>
      <c r="B457" s="2"/>
      <c r="F457" s="1"/>
      <c r="G457" s="1"/>
      <c r="I457" s="1"/>
      <c r="J457" s="1"/>
      <c r="L457" s="1"/>
      <c r="M457" s="1"/>
      <c r="O457" s="2"/>
      <c r="P457" s="2"/>
    </row>
    <row r="458" spans="1:16" x14ac:dyDescent="0.25">
      <c r="A458" s="2"/>
      <c r="B458" s="2"/>
      <c r="F458" s="1"/>
      <c r="G458" s="1"/>
      <c r="I458" s="1"/>
      <c r="J458" s="1"/>
      <c r="L458" s="1"/>
      <c r="M458" s="1"/>
      <c r="O458" s="2"/>
      <c r="P458" s="2"/>
    </row>
    <row r="459" spans="1:16" x14ac:dyDescent="0.25">
      <c r="A459" s="2"/>
      <c r="B459" s="2"/>
      <c r="F459" s="1"/>
      <c r="G459" s="1"/>
      <c r="I459" s="1"/>
      <c r="J459" s="1"/>
      <c r="L459" s="1"/>
      <c r="M459" s="1"/>
      <c r="O459" s="2"/>
      <c r="P459" s="2"/>
    </row>
    <row r="460" spans="1:16" x14ac:dyDescent="0.25">
      <c r="A460" s="2"/>
      <c r="B460" s="2"/>
      <c r="F460" s="1"/>
      <c r="G460" s="1"/>
      <c r="I460" s="1"/>
      <c r="J460" s="1"/>
      <c r="L460" s="1"/>
      <c r="M460" s="1"/>
      <c r="O460" s="2"/>
      <c r="P460" s="2"/>
    </row>
    <row r="461" spans="1:16" x14ac:dyDescent="0.25">
      <c r="A461" s="2"/>
      <c r="B461" s="2"/>
      <c r="F461" s="1"/>
      <c r="G461" s="1"/>
      <c r="I461" s="1"/>
      <c r="J461" s="1"/>
      <c r="L461" s="1"/>
      <c r="M461" s="1"/>
      <c r="O461" s="2"/>
      <c r="P461" s="2"/>
    </row>
    <row r="462" spans="1:16" x14ac:dyDescent="0.25">
      <c r="A462" s="2"/>
      <c r="B462" s="2"/>
      <c r="F462" s="1"/>
      <c r="G462" s="1"/>
      <c r="I462" s="1"/>
      <c r="J462" s="1"/>
      <c r="L462" s="1"/>
      <c r="M462" s="1"/>
      <c r="O462" s="2"/>
      <c r="P462" s="2"/>
    </row>
    <row r="463" spans="1:16" x14ac:dyDescent="0.25">
      <c r="A463" s="2"/>
      <c r="B463" s="2"/>
      <c r="F463" s="1"/>
      <c r="G463" s="1"/>
      <c r="I463" s="1"/>
      <c r="J463" s="1"/>
      <c r="L463" s="1"/>
      <c r="M463" s="1"/>
      <c r="O463" s="2"/>
      <c r="P463" s="2"/>
    </row>
    <row r="464" spans="1:16" x14ac:dyDescent="0.25">
      <c r="A464" s="2"/>
      <c r="B464" s="2"/>
      <c r="F464" s="1"/>
      <c r="G464" s="1"/>
      <c r="I464" s="1"/>
      <c r="J464" s="1"/>
      <c r="L464" s="1"/>
      <c r="M464" s="1"/>
      <c r="O464" s="2"/>
      <c r="P464" s="2"/>
    </row>
    <row r="465" spans="1:16" x14ac:dyDescent="0.25">
      <c r="A465" s="2"/>
      <c r="B465" s="2"/>
      <c r="F465" s="1"/>
      <c r="G465" s="1"/>
      <c r="I465" s="1"/>
      <c r="J465" s="1"/>
      <c r="L465" s="1"/>
      <c r="M465" s="1"/>
      <c r="O465" s="2"/>
      <c r="P465" s="2"/>
    </row>
    <row r="466" spans="1:16" x14ac:dyDescent="0.25">
      <c r="A466" s="2"/>
      <c r="B466" s="2"/>
      <c r="F466" s="1"/>
      <c r="G466" s="1"/>
      <c r="I466" s="1"/>
      <c r="J466" s="1"/>
      <c r="L466" s="1"/>
      <c r="M466" s="1"/>
      <c r="O466" s="2"/>
      <c r="P466" s="2"/>
    </row>
    <row r="467" spans="1:16" x14ac:dyDescent="0.25">
      <c r="A467" s="2"/>
      <c r="B467" s="2"/>
      <c r="F467" s="1"/>
      <c r="G467" s="1"/>
      <c r="I467" s="1"/>
      <c r="J467" s="1"/>
      <c r="L467" s="1"/>
      <c r="M467" s="1"/>
      <c r="O467" s="2"/>
      <c r="P467" s="2"/>
    </row>
    <row r="468" spans="1:16" x14ac:dyDescent="0.25">
      <c r="A468" s="2"/>
      <c r="B468" s="2"/>
      <c r="F468" s="1"/>
      <c r="G468" s="1"/>
      <c r="I468" s="1"/>
      <c r="J468" s="1"/>
      <c r="L468" s="1"/>
      <c r="M468" s="1"/>
      <c r="O468" s="2"/>
      <c r="P468" s="2"/>
    </row>
    <row r="469" spans="1:16" x14ac:dyDescent="0.25">
      <c r="A469" s="2"/>
      <c r="B469" s="2"/>
      <c r="F469" s="1"/>
      <c r="G469" s="1"/>
      <c r="I469" s="1"/>
      <c r="J469" s="1"/>
      <c r="L469" s="1"/>
      <c r="M469" s="1"/>
      <c r="O469" s="2"/>
      <c r="P469" s="2"/>
    </row>
    <row r="470" spans="1:16" x14ac:dyDescent="0.25">
      <c r="A470" s="2"/>
      <c r="B470" s="2"/>
      <c r="F470" s="1"/>
      <c r="G470" s="1"/>
      <c r="I470" s="1"/>
      <c r="J470" s="1"/>
      <c r="L470" s="1"/>
      <c r="M470" s="1"/>
      <c r="O470" s="2"/>
      <c r="P470" s="2"/>
    </row>
    <row r="471" spans="1:16" x14ac:dyDescent="0.25">
      <c r="A471" s="2"/>
      <c r="B471" s="2"/>
      <c r="F471" s="1"/>
      <c r="G471" s="1"/>
      <c r="I471" s="1"/>
      <c r="J471" s="1"/>
      <c r="L471" s="1"/>
      <c r="M471" s="1"/>
      <c r="O471" s="2"/>
      <c r="P471" s="2"/>
    </row>
    <row r="472" spans="1:16" x14ac:dyDescent="0.25">
      <c r="A472" s="2"/>
      <c r="B472" s="2"/>
      <c r="F472" s="1"/>
      <c r="G472" s="1"/>
      <c r="I472" s="1"/>
      <c r="J472" s="1"/>
      <c r="L472" s="1"/>
      <c r="M472" s="1"/>
      <c r="O472" s="2"/>
      <c r="P472" s="2"/>
    </row>
    <row r="473" spans="1:16" x14ac:dyDescent="0.25">
      <c r="A473" s="2"/>
      <c r="B473" s="2"/>
      <c r="F473" s="1"/>
      <c r="G473" s="1"/>
      <c r="I473" s="1"/>
      <c r="J473" s="1"/>
      <c r="L473" s="1"/>
      <c r="M473" s="1"/>
      <c r="O473" s="2"/>
      <c r="P473" s="2"/>
    </row>
    <row r="474" spans="1:16" x14ac:dyDescent="0.25">
      <c r="A474" s="2"/>
      <c r="B474" s="2"/>
      <c r="F474" s="1"/>
      <c r="G474" s="1"/>
      <c r="I474" s="1"/>
      <c r="J474" s="1"/>
      <c r="L474" s="1"/>
      <c r="M474" s="1"/>
      <c r="O474" s="2"/>
      <c r="P474" s="2"/>
    </row>
    <row r="475" spans="1:16" x14ac:dyDescent="0.25">
      <c r="A475" s="2"/>
      <c r="B475" s="2"/>
      <c r="F475" s="1"/>
      <c r="G475" s="1"/>
      <c r="I475" s="1"/>
      <c r="J475" s="1"/>
      <c r="L475" s="1"/>
      <c r="M475" s="1"/>
      <c r="O475" s="2"/>
      <c r="P475" s="2"/>
    </row>
    <row r="476" spans="1:16" x14ac:dyDescent="0.25">
      <c r="A476" s="2"/>
      <c r="B476" s="2"/>
      <c r="F476" s="1"/>
      <c r="G476" s="1"/>
      <c r="I476" s="1"/>
      <c r="J476" s="1"/>
      <c r="L476" s="1"/>
      <c r="M476" s="1"/>
      <c r="O476" s="2"/>
      <c r="P476" s="2"/>
    </row>
    <row r="477" spans="1:16" x14ac:dyDescent="0.25">
      <c r="A477" s="2"/>
      <c r="B477" s="2"/>
      <c r="F477" s="1"/>
      <c r="G477" s="1"/>
      <c r="I477" s="1"/>
      <c r="J477" s="1"/>
      <c r="L477" s="1"/>
      <c r="M477" s="1"/>
      <c r="O477" s="2"/>
      <c r="P477" s="2"/>
    </row>
    <row r="478" spans="1:16" x14ac:dyDescent="0.25">
      <c r="A478" s="2"/>
      <c r="B478" s="2"/>
      <c r="F478" s="1"/>
      <c r="G478" s="1"/>
      <c r="I478" s="1"/>
      <c r="J478" s="1"/>
      <c r="L478" s="1"/>
      <c r="M478" s="1"/>
      <c r="O478" s="2"/>
      <c r="P478" s="2"/>
    </row>
    <row r="479" spans="1:16" x14ac:dyDescent="0.25">
      <c r="A479" s="2"/>
      <c r="B479" s="2"/>
      <c r="F479" s="1"/>
      <c r="G479" s="1"/>
      <c r="I479" s="1"/>
      <c r="J479" s="1"/>
      <c r="L479" s="1"/>
      <c r="M479" s="1"/>
      <c r="O479" s="2"/>
      <c r="P479" s="2"/>
    </row>
    <row r="480" spans="1:16" x14ac:dyDescent="0.25">
      <c r="A480" s="2"/>
      <c r="B480" s="2"/>
      <c r="F480" s="1"/>
      <c r="G480" s="1"/>
      <c r="I480" s="1"/>
      <c r="J480" s="1"/>
      <c r="L480" s="1"/>
      <c r="M480" s="1"/>
      <c r="O480" s="2"/>
      <c r="P480" s="2"/>
    </row>
    <row r="481" spans="1:16" x14ac:dyDescent="0.25">
      <c r="A481" s="2"/>
      <c r="B481" s="2"/>
      <c r="F481" s="1"/>
      <c r="G481" s="1"/>
      <c r="I481" s="1"/>
      <c r="J481" s="1"/>
      <c r="L481" s="1"/>
      <c r="M481" s="1"/>
      <c r="O481" s="2"/>
      <c r="P481" s="2"/>
    </row>
    <row r="482" spans="1:16" x14ac:dyDescent="0.25">
      <c r="A482" s="2"/>
      <c r="B482" s="2"/>
      <c r="F482" s="1"/>
      <c r="G482" s="1"/>
      <c r="I482" s="1"/>
      <c r="J482" s="1"/>
      <c r="L482" s="1"/>
      <c r="M482" s="1"/>
      <c r="O482" s="2"/>
      <c r="P482" s="2"/>
    </row>
    <row r="483" spans="1:16" x14ac:dyDescent="0.25">
      <c r="A483" s="2"/>
      <c r="B483" s="2"/>
      <c r="F483" s="1"/>
      <c r="G483" s="1"/>
      <c r="I483" s="1"/>
      <c r="J483" s="1"/>
      <c r="L483" s="1"/>
      <c r="M483" s="1"/>
      <c r="O483" s="2"/>
      <c r="P483" s="2"/>
    </row>
    <row r="484" spans="1:16" x14ac:dyDescent="0.25">
      <c r="A484" s="2"/>
      <c r="B484" s="2"/>
      <c r="F484" s="1"/>
      <c r="G484" s="1"/>
      <c r="I484" s="1"/>
      <c r="J484" s="1"/>
      <c r="L484" s="1"/>
      <c r="M484" s="1"/>
      <c r="O484" s="2"/>
      <c r="P484" s="2"/>
    </row>
    <row r="485" spans="1:16" x14ac:dyDescent="0.25">
      <c r="A485" s="2"/>
      <c r="B485" s="2"/>
      <c r="F485" s="1"/>
      <c r="G485" s="1"/>
      <c r="I485" s="1"/>
      <c r="J485" s="1"/>
      <c r="L485" s="1"/>
      <c r="M485" s="1"/>
      <c r="O485" s="2"/>
      <c r="P485" s="2"/>
    </row>
    <row r="486" spans="1:16" x14ac:dyDescent="0.25">
      <c r="A486" s="2"/>
      <c r="B486" s="2"/>
      <c r="F486" s="1"/>
      <c r="G486" s="1"/>
      <c r="I486" s="1"/>
      <c r="J486" s="1"/>
      <c r="L486" s="1"/>
      <c r="M486" s="1"/>
      <c r="O486" s="2"/>
      <c r="P486" s="2"/>
    </row>
    <row r="487" spans="1:16" x14ac:dyDescent="0.25">
      <c r="A487" s="2"/>
      <c r="B487" s="2"/>
      <c r="F487" s="1"/>
      <c r="G487" s="1"/>
      <c r="I487" s="1"/>
      <c r="J487" s="1"/>
      <c r="L487" s="1"/>
      <c r="M487" s="1"/>
      <c r="O487" s="2"/>
      <c r="P487" s="2"/>
    </row>
    <row r="488" spans="1:16" x14ac:dyDescent="0.25">
      <c r="A488" s="2"/>
      <c r="B488" s="2"/>
      <c r="F488" s="1"/>
      <c r="G488" s="1"/>
      <c r="I488" s="1"/>
      <c r="J488" s="1"/>
      <c r="L488" s="1"/>
      <c r="M488" s="1"/>
      <c r="O488" s="2"/>
      <c r="P488" s="2"/>
    </row>
    <row r="489" spans="1:16" x14ac:dyDescent="0.25">
      <c r="A489" s="2"/>
      <c r="B489" s="2"/>
      <c r="F489" s="1"/>
      <c r="G489" s="1"/>
      <c r="I489" s="1"/>
      <c r="J489" s="1"/>
      <c r="L489" s="1"/>
      <c r="M489" s="1"/>
      <c r="O489" s="2"/>
      <c r="P489" s="2"/>
    </row>
    <row r="490" spans="1:16" x14ac:dyDescent="0.25">
      <c r="A490" s="2"/>
      <c r="B490" s="2"/>
      <c r="F490" s="1"/>
      <c r="G490" s="1"/>
      <c r="I490" s="1"/>
      <c r="J490" s="1"/>
      <c r="L490" s="1"/>
      <c r="M490" s="1"/>
      <c r="O490" s="2"/>
      <c r="P490" s="2"/>
    </row>
    <row r="491" spans="1:16" x14ac:dyDescent="0.25">
      <c r="A491" s="2"/>
      <c r="B491" s="2"/>
      <c r="F491" s="1"/>
      <c r="G491" s="1"/>
      <c r="I491" s="1"/>
      <c r="J491" s="1"/>
      <c r="L491" s="1"/>
      <c r="M491" s="1"/>
      <c r="O491" s="2"/>
      <c r="P491" s="2"/>
    </row>
    <row r="492" spans="1:16" x14ac:dyDescent="0.25">
      <c r="A492" s="2"/>
      <c r="B492" s="2"/>
      <c r="F492" s="1"/>
      <c r="G492" s="1"/>
      <c r="I492" s="1"/>
      <c r="J492" s="1"/>
      <c r="L492" s="1"/>
      <c r="M492" s="1"/>
      <c r="O492" s="2"/>
      <c r="P492" s="2"/>
    </row>
    <row r="493" spans="1:16" x14ac:dyDescent="0.25">
      <c r="A493" s="2"/>
      <c r="B493" s="2"/>
      <c r="F493" s="1"/>
      <c r="G493" s="1"/>
      <c r="I493" s="1"/>
      <c r="J493" s="1"/>
      <c r="L493" s="1"/>
      <c r="M493" s="1"/>
      <c r="O493" s="2"/>
      <c r="P493" s="2"/>
    </row>
    <row r="494" spans="1:16" x14ac:dyDescent="0.25">
      <c r="A494" s="2"/>
      <c r="B494" s="2"/>
      <c r="F494" s="1"/>
      <c r="G494" s="1"/>
      <c r="I494" s="1"/>
      <c r="J494" s="1"/>
      <c r="L494" s="1"/>
      <c r="M494" s="1"/>
      <c r="O494" s="2"/>
      <c r="P494" s="2"/>
    </row>
    <row r="495" spans="1:16" x14ac:dyDescent="0.25">
      <c r="A495" s="2"/>
      <c r="B495" s="2"/>
      <c r="F495" s="1"/>
      <c r="G495" s="1"/>
      <c r="I495" s="1"/>
      <c r="J495" s="1"/>
      <c r="L495" s="1"/>
      <c r="M495" s="1"/>
      <c r="O495" s="2"/>
      <c r="P495" s="2"/>
    </row>
    <row r="496" spans="1:16" x14ac:dyDescent="0.25">
      <c r="A496" s="2"/>
      <c r="B496" s="2"/>
      <c r="F496" s="1"/>
      <c r="G496" s="1"/>
      <c r="I496" s="1"/>
      <c r="J496" s="1"/>
      <c r="L496" s="1"/>
      <c r="M496" s="1"/>
      <c r="O496" s="2"/>
      <c r="P496" s="2"/>
    </row>
    <row r="497" spans="1:16" x14ac:dyDescent="0.25">
      <c r="A497" s="2"/>
      <c r="B497" s="2"/>
      <c r="F497" s="1"/>
      <c r="G497" s="1"/>
      <c r="I497" s="1"/>
      <c r="J497" s="1"/>
      <c r="L497" s="1"/>
      <c r="M497" s="1"/>
      <c r="O497" s="2"/>
      <c r="P497" s="2"/>
    </row>
    <row r="498" spans="1:16" x14ac:dyDescent="0.25">
      <c r="A498" s="2"/>
      <c r="B498" s="2"/>
      <c r="F498" s="1"/>
      <c r="G498" s="1"/>
      <c r="I498" s="1"/>
      <c r="J498" s="1"/>
      <c r="L498" s="1"/>
      <c r="M498" s="1"/>
      <c r="O498" s="2"/>
      <c r="P498" s="2"/>
    </row>
    <row r="499" spans="1:16" x14ac:dyDescent="0.25">
      <c r="A499" s="2"/>
      <c r="B499" s="2"/>
      <c r="F499" s="1"/>
      <c r="G499" s="1"/>
      <c r="I499" s="1"/>
      <c r="J499" s="1"/>
      <c r="L499" s="1"/>
      <c r="M499" s="1"/>
      <c r="O499" s="2"/>
      <c r="P499" s="2"/>
    </row>
    <row r="500" spans="1:16" x14ac:dyDescent="0.25">
      <c r="A500" s="2"/>
      <c r="B500" s="2"/>
      <c r="F500" s="1"/>
      <c r="G500" s="1"/>
      <c r="I500" s="1"/>
      <c r="J500" s="1"/>
      <c r="L500" s="1"/>
      <c r="M500" s="1"/>
      <c r="O500" s="2"/>
      <c r="P500" s="2"/>
    </row>
    <row r="501" spans="1:16" x14ac:dyDescent="0.25">
      <c r="A501" s="2"/>
      <c r="B501" s="2"/>
      <c r="F501" s="1"/>
      <c r="G501" s="1"/>
      <c r="I501" s="1"/>
      <c r="J501" s="1"/>
      <c r="L501" s="1"/>
      <c r="M501" s="1"/>
      <c r="O501" s="2"/>
      <c r="P501" s="2"/>
    </row>
    <row r="502" spans="1:16" x14ac:dyDescent="0.25">
      <c r="A502" s="2"/>
      <c r="B502" s="2"/>
      <c r="F502" s="1"/>
      <c r="G502" s="1"/>
      <c r="I502" s="1"/>
      <c r="J502" s="1"/>
      <c r="L502" s="1"/>
      <c r="M502" s="1"/>
      <c r="O502" s="2"/>
      <c r="P502" s="2"/>
    </row>
    <row r="503" spans="1:16" x14ac:dyDescent="0.25">
      <c r="A503" s="2"/>
      <c r="B503" s="2"/>
      <c r="F503" s="1"/>
      <c r="G503" s="1"/>
      <c r="I503" s="1"/>
      <c r="J503" s="1"/>
      <c r="L503" s="1"/>
      <c r="M503" s="1"/>
      <c r="O503" s="2"/>
      <c r="P503" s="2"/>
    </row>
    <row r="504" spans="1:16" x14ac:dyDescent="0.25">
      <c r="A504" s="2"/>
      <c r="B504" s="2"/>
      <c r="F504" s="1"/>
      <c r="G504" s="1"/>
      <c r="I504" s="1"/>
      <c r="J504" s="1"/>
      <c r="L504" s="1"/>
      <c r="M504" s="1"/>
      <c r="O504" s="2"/>
      <c r="P504" s="2"/>
    </row>
    <row r="505" spans="1:16" x14ac:dyDescent="0.25">
      <c r="A505" s="2"/>
      <c r="B505" s="2"/>
      <c r="F505" s="1"/>
      <c r="G505" s="1"/>
      <c r="I505" s="1"/>
      <c r="J505" s="1"/>
      <c r="L505" s="1"/>
      <c r="M505" s="1"/>
      <c r="O505" s="2"/>
      <c r="P505" s="2"/>
    </row>
    <row r="506" spans="1:16" x14ac:dyDescent="0.25">
      <c r="A506" s="2"/>
      <c r="B506" s="2"/>
      <c r="F506" s="1"/>
      <c r="G506" s="1"/>
      <c r="I506" s="1"/>
      <c r="J506" s="1"/>
      <c r="L506" s="1"/>
      <c r="M506" s="1"/>
      <c r="O506" s="2"/>
      <c r="P506" s="2"/>
    </row>
    <row r="507" spans="1:16" x14ac:dyDescent="0.25">
      <c r="A507" s="2"/>
      <c r="B507" s="2"/>
      <c r="F507" s="1"/>
      <c r="G507" s="1"/>
      <c r="I507" s="1"/>
      <c r="J507" s="1"/>
      <c r="L507" s="1"/>
      <c r="M507" s="1"/>
      <c r="O507" s="2"/>
      <c r="P507" s="2"/>
    </row>
    <row r="508" spans="1:16" x14ac:dyDescent="0.25">
      <c r="A508" s="2"/>
      <c r="B508" s="2"/>
      <c r="F508" s="1"/>
      <c r="G508" s="1"/>
      <c r="I508" s="1"/>
      <c r="J508" s="1"/>
      <c r="L508" s="1"/>
      <c r="M508" s="1"/>
      <c r="O508" s="2"/>
      <c r="P508" s="2"/>
    </row>
    <row r="509" spans="1:16" x14ac:dyDescent="0.25">
      <c r="A509" s="2"/>
      <c r="B509" s="2"/>
      <c r="F509" s="1"/>
      <c r="G509" s="1"/>
      <c r="I509" s="1"/>
      <c r="J509" s="1"/>
      <c r="L509" s="1"/>
      <c r="M509" s="1"/>
      <c r="O509" s="2"/>
      <c r="P509" s="2"/>
    </row>
    <row r="510" spans="1:16" x14ac:dyDescent="0.25">
      <c r="A510" s="2"/>
      <c r="B510" s="2"/>
      <c r="F510" s="1"/>
      <c r="G510" s="1"/>
      <c r="I510" s="1"/>
      <c r="J510" s="1"/>
      <c r="L510" s="1"/>
      <c r="M510" s="1"/>
      <c r="O510" s="2"/>
      <c r="P510" s="2"/>
    </row>
    <row r="511" spans="1:16" x14ac:dyDescent="0.25">
      <c r="A511" s="2"/>
      <c r="B511" s="2"/>
      <c r="F511" s="1"/>
      <c r="G511" s="1"/>
      <c r="I511" s="1"/>
      <c r="J511" s="1"/>
      <c r="L511" s="1"/>
      <c r="M511" s="1"/>
      <c r="O511" s="2"/>
      <c r="P511" s="2"/>
    </row>
    <row r="512" spans="1:16" x14ac:dyDescent="0.25">
      <c r="A512" s="2"/>
      <c r="B512" s="2"/>
      <c r="F512" s="1"/>
      <c r="G512" s="1"/>
      <c r="I512" s="1"/>
      <c r="J512" s="1"/>
      <c r="L512" s="1"/>
      <c r="M512" s="1"/>
      <c r="O512" s="2"/>
      <c r="P512" s="2"/>
    </row>
    <row r="513" spans="1:16" x14ac:dyDescent="0.25">
      <c r="A513" s="2"/>
      <c r="B513" s="2"/>
      <c r="F513" s="1"/>
      <c r="G513" s="1"/>
      <c r="I513" s="1"/>
      <c r="J513" s="1"/>
      <c r="L513" s="1"/>
      <c r="M513" s="1"/>
      <c r="O513" s="2"/>
      <c r="P513" s="2"/>
    </row>
    <row r="514" spans="1:16" x14ac:dyDescent="0.25">
      <c r="A514" s="2"/>
      <c r="B514" s="2"/>
      <c r="F514" s="1"/>
      <c r="G514" s="1"/>
      <c r="I514" s="1"/>
      <c r="J514" s="1"/>
      <c r="L514" s="1"/>
      <c r="M514" s="1"/>
      <c r="O514" s="2"/>
      <c r="P514" s="2"/>
    </row>
    <row r="515" spans="1:16" x14ac:dyDescent="0.25">
      <c r="A515" s="2"/>
      <c r="B515" s="2"/>
      <c r="F515" s="1"/>
      <c r="G515" s="1"/>
      <c r="I515" s="1"/>
      <c r="J515" s="1"/>
      <c r="L515" s="1"/>
      <c r="M515" s="1"/>
      <c r="O515" s="2"/>
      <c r="P515" s="2"/>
    </row>
    <row r="516" spans="1:16" x14ac:dyDescent="0.25">
      <c r="A516" s="2"/>
      <c r="B516" s="2"/>
      <c r="F516" s="1"/>
      <c r="G516" s="1"/>
      <c r="I516" s="1"/>
      <c r="J516" s="1"/>
      <c r="L516" s="1"/>
      <c r="M516" s="1"/>
      <c r="O516" s="2"/>
      <c r="P516" s="2"/>
    </row>
    <row r="517" spans="1:16" x14ac:dyDescent="0.25">
      <c r="A517" s="2"/>
      <c r="B517" s="2"/>
      <c r="F517" s="1"/>
      <c r="G517" s="1"/>
      <c r="I517" s="1"/>
      <c r="J517" s="1"/>
      <c r="L517" s="1"/>
      <c r="M517" s="1"/>
      <c r="O517" s="2"/>
      <c r="P517" s="2"/>
    </row>
    <row r="518" spans="1:16" x14ac:dyDescent="0.25">
      <c r="A518" s="2"/>
      <c r="B518" s="2"/>
      <c r="F518" s="1"/>
      <c r="G518" s="1"/>
      <c r="I518" s="1"/>
      <c r="J518" s="1"/>
      <c r="L518" s="1"/>
      <c r="M518" s="1"/>
      <c r="O518" s="2"/>
      <c r="P518" s="2"/>
    </row>
    <row r="519" spans="1:16" x14ac:dyDescent="0.25">
      <c r="A519" s="2"/>
      <c r="B519" s="2"/>
      <c r="F519" s="1"/>
      <c r="G519" s="1"/>
      <c r="I519" s="1"/>
      <c r="J519" s="1"/>
      <c r="L519" s="1"/>
      <c r="M519" s="1"/>
      <c r="O519" s="2"/>
      <c r="P519" s="2"/>
    </row>
    <row r="520" spans="1:16" x14ac:dyDescent="0.25">
      <c r="A520" s="2"/>
      <c r="B520" s="2"/>
      <c r="F520" s="1"/>
      <c r="G520" s="1"/>
      <c r="I520" s="1"/>
      <c r="J520" s="1"/>
      <c r="L520" s="1"/>
      <c r="M520" s="1"/>
      <c r="O520" s="2"/>
      <c r="P520" s="2"/>
    </row>
    <row r="521" spans="1:16" x14ac:dyDescent="0.25">
      <c r="A521" s="2"/>
      <c r="B521" s="2"/>
      <c r="F521" s="1"/>
      <c r="G521" s="1"/>
      <c r="I521" s="1"/>
      <c r="J521" s="1"/>
      <c r="L521" s="1"/>
      <c r="M521" s="1"/>
      <c r="O521" s="2"/>
      <c r="P521" s="2"/>
    </row>
    <row r="522" spans="1:16" x14ac:dyDescent="0.25">
      <c r="A522" s="2"/>
      <c r="B522" s="2"/>
      <c r="F522" s="1"/>
      <c r="G522" s="1"/>
      <c r="I522" s="1"/>
      <c r="J522" s="1"/>
      <c r="L522" s="1"/>
      <c r="M522" s="1"/>
      <c r="O522" s="2"/>
      <c r="P522" s="2"/>
    </row>
    <row r="523" spans="1:16" x14ac:dyDescent="0.25">
      <c r="A523" s="2"/>
      <c r="B523" s="2"/>
      <c r="F523" s="1"/>
      <c r="G523" s="1"/>
      <c r="I523" s="1"/>
      <c r="J523" s="1"/>
      <c r="L523" s="1"/>
      <c r="M523" s="1"/>
      <c r="O523" s="2"/>
      <c r="P523" s="2"/>
    </row>
    <row r="524" spans="1:16" x14ac:dyDescent="0.25">
      <c r="A524" s="2"/>
      <c r="B524" s="2"/>
      <c r="F524" s="1"/>
      <c r="G524" s="1"/>
      <c r="I524" s="1"/>
      <c r="J524" s="1"/>
      <c r="L524" s="1"/>
      <c r="M524" s="1"/>
      <c r="O524" s="2"/>
      <c r="P524" s="2"/>
    </row>
    <row r="525" spans="1:16" x14ac:dyDescent="0.25">
      <c r="A525" s="2"/>
      <c r="B525" s="2"/>
      <c r="F525" s="1"/>
      <c r="G525" s="1"/>
      <c r="I525" s="1"/>
      <c r="J525" s="1"/>
      <c r="L525" s="1"/>
      <c r="M525" s="1"/>
      <c r="O525" s="2"/>
      <c r="P525" s="2"/>
    </row>
    <row r="526" spans="1:16" x14ac:dyDescent="0.25">
      <c r="A526" s="2"/>
      <c r="B526" s="2"/>
      <c r="F526" s="1"/>
      <c r="G526" s="1"/>
      <c r="I526" s="1"/>
      <c r="J526" s="1"/>
      <c r="L526" s="1"/>
      <c r="M526" s="1"/>
      <c r="O526" s="2"/>
      <c r="P526" s="2"/>
    </row>
    <row r="527" spans="1:16" x14ac:dyDescent="0.25">
      <c r="A527" s="2"/>
      <c r="B527" s="2"/>
      <c r="F527" s="1"/>
      <c r="G527" s="1"/>
      <c r="I527" s="1"/>
      <c r="J527" s="1"/>
      <c r="L527" s="1"/>
      <c r="M527" s="1"/>
      <c r="O527" s="2"/>
      <c r="P527" s="2"/>
    </row>
    <row r="528" spans="1:16" x14ac:dyDescent="0.25">
      <c r="A528" s="2"/>
      <c r="B528" s="2"/>
      <c r="F528" s="1"/>
      <c r="G528" s="1"/>
      <c r="I528" s="1"/>
      <c r="J528" s="1"/>
      <c r="L528" s="1"/>
      <c r="M528" s="1"/>
      <c r="O528" s="2"/>
      <c r="P528" s="2"/>
    </row>
    <row r="529" spans="1:16" x14ac:dyDescent="0.25">
      <c r="A529" s="2"/>
      <c r="B529" s="2"/>
      <c r="F529" s="1"/>
      <c r="G529" s="1"/>
      <c r="I529" s="1"/>
      <c r="J529" s="1"/>
      <c r="L529" s="1"/>
      <c r="M529" s="1"/>
      <c r="O529" s="2"/>
      <c r="P529" s="2"/>
    </row>
    <row r="530" spans="1:16" x14ac:dyDescent="0.25">
      <c r="A530" s="2"/>
      <c r="B530" s="2"/>
      <c r="F530" s="1"/>
      <c r="G530" s="1"/>
      <c r="I530" s="1"/>
      <c r="J530" s="1"/>
      <c r="L530" s="1"/>
      <c r="M530" s="1"/>
      <c r="O530" s="2"/>
      <c r="P530" s="2"/>
    </row>
    <row r="531" spans="1:16" x14ac:dyDescent="0.25">
      <c r="A531" s="2"/>
      <c r="B531" s="2"/>
      <c r="F531" s="1"/>
      <c r="G531" s="1"/>
      <c r="I531" s="1"/>
      <c r="J531" s="1"/>
      <c r="L531" s="1"/>
      <c r="M531" s="1"/>
      <c r="O531" s="2"/>
      <c r="P531" s="2"/>
    </row>
    <row r="532" spans="1:16" x14ac:dyDescent="0.25">
      <c r="A532" s="2"/>
      <c r="B532" s="2"/>
      <c r="F532" s="1"/>
      <c r="G532" s="1"/>
      <c r="I532" s="1"/>
      <c r="J532" s="1"/>
      <c r="L532" s="1"/>
      <c r="M532" s="1"/>
      <c r="O532" s="2"/>
      <c r="P532" s="2"/>
    </row>
    <row r="533" spans="1:16" x14ac:dyDescent="0.25">
      <c r="A533" s="2"/>
      <c r="B533" s="2"/>
      <c r="F533" s="1"/>
      <c r="G533" s="1"/>
      <c r="I533" s="1"/>
      <c r="J533" s="1"/>
      <c r="L533" s="1"/>
      <c r="M533" s="1"/>
      <c r="O533" s="2"/>
      <c r="P533" s="2"/>
    </row>
    <row r="534" spans="1:16" x14ac:dyDescent="0.25">
      <c r="A534" s="2"/>
      <c r="B534" s="2"/>
      <c r="F534" s="1"/>
      <c r="G534" s="1"/>
      <c r="I534" s="1"/>
      <c r="J534" s="1"/>
      <c r="L534" s="1"/>
      <c r="M534" s="1"/>
      <c r="O534" s="2"/>
      <c r="P534" s="2"/>
    </row>
    <row r="535" spans="1:16" x14ac:dyDescent="0.25">
      <c r="A535" s="2"/>
      <c r="B535" s="2"/>
      <c r="F535" s="1"/>
      <c r="G535" s="1"/>
      <c r="I535" s="1"/>
      <c r="J535" s="1"/>
      <c r="L535" s="1"/>
      <c r="M535" s="1"/>
      <c r="O535" s="2"/>
      <c r="P535" s="2"/>
    </row>
    <row r="536" spans="1:16" x14ac:dyDescent="0.25">
      <c r="A536" s="2"/>
      <c r="B536" s="2"/>
      <c r="F536" s="1"/>
      <c r="G536" s="1"/>
      <c r="I536" s="1"/>
      <c r="J536" s="1"/>
      <c r="L536" s="1"/>
      <c r="M536" s="1"/>
      <c r="O536" s="2"/>
      <c r="P536" s="2"/>
    </row>
    <row r="537" spans="1:16" x14ac:dyDescent="0.25">
      <c r="A537" s="2"/>
      <c r="B537" s="2"/>
      <c r="F537" s="1"/>
      <c r="G537" s="1"/>
      <c r="I537" s="1"/>
      <c r="J537" s="1"/>
      <c r="L537" s="1"/>
      <c r="M537" s="1"/>
      <c r="O537" s="2"/>
      <c r="P537" s="2"/>
    </row>
    <row r="538" spans="1:16" x14ac:dyDescent="0.25">
      <c r="A538" s="2"/>
      <c r="B538" s="2"/>
      <c r="F538" s="1"/>
      <c r="G538" s="1"/>
      <c r="I538" s="1"/>
      <c r="J538" s="1"/>
      <c r="L538" s="1"/>
      <c r="M538" s="1"/>
      <c r="O538" s="2"/>
      <c r="P538" s="2"/>
    </row>
    <row r="539" spans="1:16" x14ac:dyDescent="0.25">
      <c r="A539" s="2"/>
      <c r="B539" s="2"/>
      <c r="F539" s="1"/>
      <c r="G539" s="1"/>
      <c r="I539" s="1"/>
      <c r="J539" s="1"/>
      <c r="L539" s="1"/>
      <c r="M539" s="1"/>
      <c r="O539" s="2"/>
      <c r="P539" s="2"/>
    </row>
    <row r="540" spans="1:16" x14ac:dyDescent="0.25">
      <c r="A540" s="2"/>
      <c r="B540" s="2"/>
      <c r="F540" s="1"/>
      <c r="G540" s="1"/>
      <c r="I540" s="1"/>
      <c r="J540" s="1"/>
      <c r="L540" s="1"/>
      <c r="M540" s="1"/>
      <c r="O540" s="2"/>
      <c r="P540" s="2"/>
    </row>
    <row r="541" spans="1:16" x14ac:dyDescent="0.25">
      <c r="A541" s="2"/>
      <c r="B541" s="2"/>
      <c r="F541" s="1"/>
      <c r="G541" s="1"/>
      <c r="I541" s="1"/>
      <c r="J541" s="1"/>
      <c r="L541" s="1"/>
      <c r="M541" s="1"/>
      <c r="O541" s="2"/>
      <c r="P541" s="2"/>
    </row>
    <row r="542" spans="1:16" x14ac:dyDescent="0.25">
      <c r="A542" s="2"/>
      <c r="B542" s="2"/>
      <c r="F542" s="1"/>
      <c r="G542" s="1"/>
      <c r="I542" s="1"/>
      <c r="J542" s="1"/>
      <c r="L542" s="1"/>
      <c r="M542" s="1"/>
      <c r="O542" s="2"/>
      <c r="P542" s="2"/>
    </row>
    <row r="543" spans="1:16" x14ac:dyDescent="0.25">
      <c r="A543" s="2"/>
      <c r="B543" s="2"/>
      <c r="F543" s="1"/>
      <c r="G543" s="1"/>
      <c r="I543" s="1"/>
      <c r="J543" s="1"/>
      <c r="L543" s="1"/>
      <c r="M543" s="1"/>
      <c r="O543" s="2"/>
      <c r="P543" s="2"/>
    </row>
    <row r="544" spans="1:16" x14ac:dyDescent="0.25">
      <c r="A544" s="2"/>
      <c r="B544" s="2"/>
      <c r="F544" s="1"/>
      <c r="G544" s="1"/>
      <c r="I544" s="1"/>
      <c r="J544" s="1"/>
      <c r="L544" s="1"/>
      <c r="M544" s="1"/>
      <c r="O544" s="2"/>
      <c r="P544" s="2"/>
    </row>
    <row r="545" spans="1:16" x14ac:dyDescent="0.25">
      <c r="A545" s="2"/>
      <c r="B545" s="2"/>
      <c r="F545" s="1"/>
      <c r="G545" s="1"/>
      <c r="I545" s="1"/>
      <c r="J545" s="1"/>
      <c r="L545" s="1"/>
      <c r="M545" s="1"/>
      <c r="O545" s="2"/>
      <c r="P545" s="2"/>
    </row>
    <row r="546" spans="1:16" x14ac:dyDescent="0.25">
      <c r="A546" s="2"/>
      <c r="B546" s="2"/>
      <c r="F546" s="1"/>
      <c r="G546" s="1"/>
      <c r="I546" s="1"/>
      <c r="J546" s="1"/>
      <c r="L546" s="1"/>
      <c r="M546" s="1"/>
      <c r="O546" s="2"/>
      <c r="P546" s="2"/>
    </row>
    <row r="547" spans="1:16" x14ac:dyDescent="0.25">
      <c r="A547" s="2"/>
      <c r="B547" s="2"/>
      <c r="F547" s="1"/>
      <c r="G547" s="1"/>
      <c r="I547" s="1"/>
      <c r="J547" s="1"/>
      <c r="L547" s="1"/>
      <c r="M547" s="1"/>
      <c r="O547" s="2"/>
      <c r="P547" s="2"/>
    </row>
    <row r="548" spans="1:16" x14ac:dyDescent="0.25">
      <c r="A548" s="2"/>
      <c r="B548" s="2"/>
      <c r="F548" s="1"/>
      <c r="G548" s="1"/>
      <c r="I548" s="1"/>
      <c r="J548" s="1"/>
      <c r="L548" s="1"/>
      <c r="M548" s="1"/>
      <c r="O548" s="2"/>
      <c r="P548" s="2"/>
    </row>
    <row r="549" spans="1:16" x14ac:dyDescent="0.25">
      <c r="A549" s="2"/>
      <c r="B549" s="2"/>
      <c r="F549" s="1"/>
      <c r="G549" s="1"/>
      <c r="I549" s="1"/>
      <c r="J549" s="1"/>
      <c r="L549" s="1"/>
      <c r="M549" s="1"/>
      <c r="O549" s="2"/>
      <c r="P549" s="2"/>
    </row>
    <row r="550" spans="1:16" x14ac:dyDescent="0.25">
      <c r="A550" s="2"/>
      <c r="B550" s="2"/>
      <c r="F550" s="1"/>
      <c r="G550" s="1"/>
      <c r="I550" s="1"/>
      <c r="J550" s="1"/>
      <c r="L550" s="1"/>
      <c r="M550" s="1"/>
      <c r="O550" s="2"/>
      <c r="P550" s="2"/>
    </row>
    <row r="551" spans="1:16" x14ac:dyDescent="0.25">
      <c r="A551" s="2"/>
      <c r="B551" s="2"/>
      <c r="F551" s="1"/>
      <c r="G551" s="1"/>
      <c r="I551" s="1"/>
      <c r="J551" s="1"/>
      <c r="L551" s="1"/>
      <c r="M551" s="1"/>
      <c r="O551" s="2"/>
      <c r="P551" s="2"/>
    </row>
    <row r="552" spans="1:16" x14ac:dyDescent="0.25">
      <c r="A552" s="2"/>
      <c r="B552" s="2"/>
      <c r="F552" s="1"/>
      <c r="G552" s="1"/>
      <c r="I552" s="1"/>
      <c r="J552" s="1"/>
      <c r="L552" s="1"/>
      <c r="M552" s="1"/>
      <c r="O552" s="2"/>
      <c r="P552" s="2"/>
    </row>
    <row r="553" spans="1:16" x14ac:dyDescent="0.25">
      <c r="A553" s="2"/>
      <c r="B553" s="2"/>
      <c r="F553" s="1"/>
      <c r="G553" s="1"/>
      <c r="I553" s="1"/>
      <c r="J553" s="1"/>
      <c r="L553" s="1"/>
      <c r="M553" s="1"/>
      <c r="O553" s="2"/>
      <c r="P553" s="2"/>
    </row>
    <row r="554" spans="1:16" x14ac:dyDescent="0.25">
      <c r="A554" s="2"/>
      <c r="B554" s="2"/>
      <c r="F554" s="1"/>
      <c r="G554" s="1"/>
      <c r="I554" s="1"/>
      <c r="J554" s="1"/>
      <c r="L554" s="1"/>
      <c r="M554" s="1"/>
      <c r="O554" s="2"/>
      <c r="P554" s="2"/>
    </row>
    <row r="555" spans="1:16" x14ac:dyDescent="0.25">
      <c r="A555" s="2"/>
      <c r="B555" s="2"/>
      <c r="F555" s="1"/>
      <c r="G555" s="1"/>
      <c r="I555" s="1"/>
      <c r="J555" s="1"/>
      <c r="L555" s="1"/>
      <c r="M555" s="1"/>
      <c r="O555" s="2"/>
      <c r="P555" s="2"/>
    </row>
    <row r="556" spans="1:16" x14ac:dyDescent="0.25">
      <c r="A556" s="2"/>
      <c r="B556" s="2"/>
      <c r="F556" s="1"/>
      <c r="G556" s="1"/>
      <c r="I556" s="1"/>
      <c r="J556" s="1"/>
      <c r="L556" s="1"/>
      <c r="M556" s="1"/>
      <c r="O556" s="2"/>
      <c r="P556" s="2"/>
    </row>
    <row r="557" spans="1:16" x14ac:dyDescent="0.25">
      <c r="A557" s="2"/>
      <c r="B557" s="2"/>
      <c r="F557" s="1"/>
      <c r="G557" s="1"/>
      <c r="I557" s="1"/>
      <c r="J557" s="1"/>
      <c r="L557" s="1"/>
      <c r="M557" s="1"/>
      <c r="O557" s="2"/>
      <c r="P557" s="2"/>
    </row>
    <row r="558" spans="1:16" x14ac:dyDescent="0.25">
      <c r="A558" s="2"/>
      <c r="B558" s="2"/>
      <c r="F558" s="1"/>
      <c r="G558" s="1"/>
      <c r="I558" s="1"/>
      <c r="J558" s="1"/>
      <c r="L558" s="1"/>
      <c r="M558" s="1"/>
      <c r="O558" s="2"/>
      <c r="P558" s="2"/>
    </row>
    <row r="559" spans="1:16" x14ac:dyDescent="0.25">
      <c r="A559" s="2"/>
      <c r="B559" s="2"/>
      <c r="F559" s="1"/>
      <c r="G559" s="1"/>
      <c r="I559" s="1"/>
      <c r="J559" s="1"/>
      <c r="L559" s="1"/>
      <c r="M559" s="1"/>
      <c r="O559" s="2"/>
      <c r="P559" s="2"/>
    </row>
    <row r="560" spans="1:16" x14ac:dyDescent="0.25">
      <c r="A560" s="2"/>
      <c r="B560" s="2"/>
      <c r="F560" s="1"/>
      <c r="G560" s="1"/>
      <c r="I560" s="1"/>
      <c r="J560" s="1"/>
      <c r="L560" s="1"/>
      <c r="M560" s="1"/>
      <c r="O560" s="2"/>
      <c r="P560" s="2"/>
    </row>
    <row r="561" spans="1:16" x14ac:dyDescent="0.25">
      <c r="A561" s="2"/>
      <c r="B561" s="2"/>
      <c r="F561" s="1"/>
      <c r="G561" s="1"/>
      <c r="I561" s="1"/>
      <c r="J561" s="1"/>
      <c r="L561" s="1"/>
      <c r="M561" s="1"/>
      <c r="O561" s="2"/>
      <c r="P561" s="2"/>
    </row>
    <row r="562" spans="1:16" x14ac:dyDescent="0.25">
      <c r="A562" s="2"/>
      <c r="B562" s="2"/>
      <c r="F562" s="1"/>
      <c r="G562" s="1"/>
      <c r="I562" s="1"/>
      <c r="J562" s="1"/>
      <c r="L562" s="1"/>
      <c r="M562" s="1"/>
      <c r="O562" s="2"/>
      <c r="P562" s="2"/>
    </row>
    <row r="563" spans="1:16" x14ac:dyDescent="0.25">
      <c r="A563" s="2"/>
      <c r="B563" s="2"/>
      <c r="F563" s="1"/>
      <c r="G563" s="1"/>
      <c r="I563" s="1"/>
      <c r="J563" s="1"/>
      <c r="L563" s="1"/>
      <c r="M563" s="1"/>
      <c r="O563" s="2"/>
      <c r="P563" s="2"/>
    </row>
    <row r="564" spans="1:16" x14ac:dyDescent="0.25">
      <c r="A564" s="2"/>
      <c r="B564" s="2"/>
      <c r="F564" s="1"/>
      <c r="G564" s="1"/>
      <c r="I564" s="1"/>
      <c r="J564" s="1"/>
      <c r="L564" s="1"/>
      <c r="M564" s="1"/>
      <c r="O564" s="2"/>
      <c r="P564" s="2"/>
    </row>
    <row r="565" spans="1:16" x14ac:dyDescent="0.25">
      <c r="A565" s="2"/>
      <c r="B565" s="2"/>
      <c r="F565" s="1"/>
      <c r="G565" s="1"/>
      <c r="I565" s="1"/>
      <c r="J565" s="1"/>
      <c r="L565" s="1"/>
      <c r="M565" s="1"/>
      <c r="O565" s="2"/>
      <c r="P565" s="2"/>
    </row>
    <row r="566" spans="1:16" x14ac:dyDescent="0.25">
      <c r="A566" s="2"/>
      <c r="B566" s="2"/>
      <c r="F566" s="1"/>
      <c r="G566" s="1"/>
      <c r="I566" s="1"/>
      <c r="J566" s="1"/>
      <c r="L566" s="1"/>
      <c r="M566" s="1"/>
      <c r="O566" s="2"/>
      <c r="P566" s="2"/>
    </row>
    <row r="567" spans="1:16" x14ac:dyDescent="0.25">
      <c r="A567" s="2"/>
      <c r="B567" s="2"/>
      <c r="F567" s="1"/>
      <c r="G567" s="1"/>
      <c r="I567" s="1"/>
      <c r="J567" s="1"/>
      <c r="L567" s="1"/>
      <c r="M567" s="1"/>
      <c r="O567" s="2"/>
      <c r="P567" s="2"/>
    </row>
    <row r="568" spans="1:16" x14ac:dyDescent="0.25">
      <c r="A568" s="2"/>
      <c r="B568" s="2"/>
      <c r="F568" s="1"/>
      <c r="G568" s="1"/>
      <c r="I568" s="1"/>
      <c r="J568" s="1"/>
      <c r="L568" s="1"/>
      <c r="M568" s="1"/>
      <c r="O568" s="2"/>
      <c r="P568" s="2"/>
    </row>
    <row r="569" spans="1:16" x14ac:dyDescent="0.25">
      <c r="A569" s="2"/>
      <c r="B569" s="2"/>
      <c r="F569" s="1"/>
      <c r="G569" s="1"/>
      <c r="I569" s="1"/>
      <c r="J569" s="1"/>
      <c r="L569" s="1"/>
      <c r="M569" s="1"/>
      <c r="O569" s="2"/>
      <c r="P569" s="2"/>
    </row>
    <row r="570" spans="1:16" x14ac:dyDescent="0.25">
      <c r="A570" s="2"/>
      <c r="B570" s="2"/>
      <c r="F570" s="1"/>
      <c r="G570" s="1"/>
      <c r="I570" s="1"/>
      <c r="J570" s="1"/>
      <c r="L570" s="1"/>
      <c r="M570" s="1"/>
      <c r="O570" s="2"/>
      <c r="P570" s="2"/>
    </row>
    <row r="571" spans="1:16" x14ac:dyDescent="0.25">
      <c r="A571" s="2"/>
      <c r="B571" s="2"/>
      <c r="F571" s="1"/>
      <c r="G571" s="1"/>
      <c r="I571" s="1"/>
      <c r="J571" s="1"/>
      <c r="L571" s="1"/>
      <c r="M571" s="1"/>
      <c r="O571" s="2"/>
      <c r="P571" s="2"/>
    </row>
    <row r="572" spans="1:16" x14ac:dyDescent="0.25">
      <c r="A572" s="2"/>
      <c r="B572" s="2"/>
      <c r="F572" s="1"/>
      <c r="G572" s="1"/>
      <c r="I572" s="1"/>
      <c r="J572" s="1"/>
      <c r="L572" s="1"/>
      <c r="M572" s="1"/>
      <c r="O572" s="2"/>
      <c r="P572" s="2"/>
    </row>
    <row r="573" spans="1:16" x14ac:dyDescent="0.25">
      <c r="A573" s="2"/>
      <c r="B573" s="2"/>
      <c r="F573" s="1"/>
      <c r="G573" s="1"/>
      <c r="I573" s="1"/>
      <c r="J573" s="1"/>
      <c r="L573" s="1"/>
      <c r="M573" s="1"/>
      <c r="O573" s="2"/>
      <c r="P573" s="2"/>
    </row>
    <row r="574" spans="1:16" x14ac:dyDescent="0.25">
      <c r="A574" s="2"/>
      <c r="B574" s="2"/>
      <c r="F574" s="1"/>
      <c r="G574" s="1"/>
      <c r="I574" s="1"/>
      <c r="J574" s="1"/>
      <c r="L574" s="1"/>
      <c r="M574" s="1"/>
      <c r="O574" s="2"/>
      <c r="P574" s="2"/>
    </row>
    <row r="575" spans="1:16" x14ac:dyDescent="0.25">
      <c r="A575" s="2"/>
      <c r="B575" s="2"/>
      <c r="F575" s="1"/>
      <c r="G575" s="1"/>
      <c r="I575" s="1"/>
      <c r="J575" s="1"/>
      <c r="L575" s="1"/>
      <c r="M575" s="1"/>
      <c r="O575" s="2"/>
      <c r="P575" s="2"/>
    </row>
    <row r="576" spans="1:16" x14ac:dyDescent="0.25">
      <c r="A576" s="2"/>
      <c r="B576" s="2"/>
      <c r="F576" s="1"/>
      <c r="G576" s="1"/>
      <c r="I576" s="1"/>
      <c r="J576" s="1"/>
      <c r="L576" s="1"/>
      <c r="M576" s="1"/>
      <c r="O576" s="2"/>
      <c r="P576" s="2"/>
    </row>
    <row r="577" spans="1:16" x14ac:dyDescent="0.25">
      <c r="A577" s="2"/>
      <c r="B577" s="2"/>
      <c r="F577" s="1"/>
      <c r="G577" s="1"/>
      <c r="I577" s="1"/>
      <c r="J577" s="1"/>
      <c r="L577" s="1"/>
      <c r="M577" s="1"/>
      <c r="O577" s="2"/>
      <c r="P577" s="2"/>
    </row>
    <row r="578" spans="1:16" x14ac:dyDescent="0.25">
      <c r="A578" s="2"/>
      <c r="B578" s="2"/>
      <c r="F578" s="1"/>
      <c r="G578" s="1"/>
      <c r="I578" s="1"/>
      <c r="J578" s="1"/>
      <c r="L578" s="1"/>
      <c r="M578" s="1"/>
      <c r="O578" s="2"/>
      <c r="P578" s="2"/>
    </row>
    <row r="579" spans="1:16" x14ac:dyDescent="0.25">
      <c r="A579" s="2"/>
      <c r="B579" s="2"/>
      <c r="F579" s="1"/>
      <c r="G579" s="1"/>
      <c r="I579" s="1"/>
      <c r="J579" s="1"/>
      <c r="L579" s="1"/>
      <c r="M579" s="1"/>
      <c r="O579" s="2"/>
      <c r="P579" s="2"/>
    </row>
    <row r="580" spans="1:16" x14ac:dyDescent="0.25">
      <c r="A580" s="2"/>
      <c r="B580" s="2"/>
      <c r="F580" s="1"/>
      <c r="G580" s="1"/>
      <c r="I580" s="1"/>
      <c r="J580" s="1"/>
      <c r="L580" s="1"/>
      <c r="M580" s="1"/>
      <c r="O580" s="2"/>
      <c r="P580" s="2"/>
    </row>
    <row r="581" spans="1:16" x14ac:dyDescent="0.25">
      <c r="A581" s="2"/>
      <c r="B581" s="2"/>
      <c r="F581" s="1"/>
      <c r="G581" s="1"/>
      <c r="I581" s="1"/>
      <c r="J581" s="1"/>
      <c r="L581" s="1"/>
      <c r="M581" s="1"/>
      <c r="O581" s="2"/>
      <c r="P581" s="2"/>
    </row>
    <row r="582" spans="1:16" x14ac:dyDescent="0.25">
      <c r="A582" s="2"/>
      <c r="B582" s="2"/>
      <c r="F582" s="1"/>
      <c r="G582" s="1"/>
      <c r="I582" s="1"/>
      <c r="J582" s="1"/>
      <c r="L582" s="1"/>
      <c r="M582" s="1"/>
      <c r="O582" s="2"/>
      <c r="P582" s="2"/>
    </row>
    <row r="583" spans="1:16" x14ac:dyDescent="0.25">
      <c r="A583" s="2"/>
      <c r="B583" s="2"/>
      <c r="F583" s="1"/>
      <c r="G583" s="1"/>
      <c r="I583" s="1"/>
      <c r="J583" s="1"/>
      <c r="L583" s="1"/>
      <c r="M583" s="1"/>
      <c r="O583" s="2"/>
      <c r="P583" s="2"/>
    </row>
    <row r="584" spans="1:16" x14ac:dyDescent="0.25">
      <c r="A584" s="2"/>
      <c r="B584" s="2"/>
      <c r="F584" s="1"/>
      <c r="G584" s="1"/>
      <c r="I584" s="1"/>
      <c r="J584" s="1"/>
      <c r="L584" s="1"/>
      <c r="M584" s="1"/>
      <c r="O584" s="2"/>
      <c r="P584" s="2"/>
    </row>
    <row r="585" spans="1:16" x14ac:dyDescent="0.25">
      <c r="A585" s="2"/>
      <c r="B585" s="2"/>
      <c r="F585" s="1"/>
      <c r="G585" s="1"/>
      <c r="I585" s="1"/>
      <c r="J585" s="1"/>
      <c r="L585" s="1"/>
      <c r="M585" s="1"/>
      <c r="O585" s="2"/>
      <c r="P585" s="2"/>
    </row>
    <row r="586" spans="1:16" x14ac:dyDescent="0.25">
      <c r="A586" s="2"/>
      <c r="B586" s="2"/>
      <c r="F586" s="1"/>
      <c r="G586" s="1"/>
      <c r="I586" s="1"/>
      <c r="J586" s="1"/>
      <c r="L586" s="1"/>
      <c r="M586" s="1"/>
      <c r="O586" s="2"/>
      <c r="P586" s="2"/>
    </row>
    <row r="587" spans="1:16" x14ac:dyDescent="0.25">
      <c r="A587" s="2"/>
      <c r="B587" s="2"/>
      <c r="F587" s="1"/>
      <c r="G587" s="1"/>
      <c r="I587" s="1"/>
      <c r="J587" s="1"/>
      <c r="L587" s="1"/>
      <c r="M587" s="1"/>
      <c r="O587" s="2"/>
      <c r="P587" s="2"/>
    </row>
    <row r="588" spans="1:16" x14ac:dyDescent="0.25">
      <c r="A588" s="2"/>
      <c r="B588" s="2"/>
      <c r="F588" s="1"/>
      <c r="G588" s="1"/>
      <c r="I588" s="1"/>
      <c r="J588" s="1"/>
      <c r="L588" s="1"/>
      <c r="M588" s="1"/>
      <c r="O588" s="2"/>
      <c r="P588" s="2"/>
    </row>
    <row r="589" spans="1:16" x14ac:dyDescent="0.25">
      <c r="A589" s="2"/>
      <c r="B589" s="2"/>
      <c r="F589" s="1"/>
      <c r="G589" s="1"/>
      <c r="I589" s="1"/>
      <c r="J589" s="1"/>
      <c r="L589" s="1"/>
      <c r="M589" s="1"/>
      <c r="O589" s="2"/>
      <c r="P589" s="2"/>
    </row>
    <row r="590" spans="1:16" x14ac:dyDescent="0.25">
      <c r="A590" s="2"/>
      <c r="B590" s="2"/>
      <c r="F590" s="1"/>
      <c r="G590" s="1"/>
      <c r="I590" s="1"/>
      <c r="J590" s="1"/>
      <c r="L590" s="1"/>
      <c r="M590" s="1"/>
      <c r="O590" s="2"/>
      <c r="P590" s="2"/>
    </row>
    <row r="591" spans="1:16" x14ac:dyDescent="0.25">
      <c r="A591" s="2"/>
      <c r="B591" s="2"/>
      <c r="F591" s="1"/>
      <c r="G591" s="1"/>
      <c r="I591" s="1"/>
      <c r="J591" s="1"/>
      <c r="L591" s="1"/>
      <c r="M591" s="1"/>
      <c r="O591" s="2"/>
      <c r="P591" s="2"/>
    </row>
    <row r="592" spans="1:16" x14ac:dyDescent="0.25">
      <c r="A592" s="2"/>
      <c r="B592" s="2"/>
      <c r="F592" s="1"/>
      <c r="G592" s="1"/>
      <c r="I592" s="1"/>
      <c r="J592" s="1"/>
      <c r="L592" s="1"/>
      <c r="M592" s="1"/>
      <c r="O592" s="2"/>
      <c r="P592" s="2"/>
    </row>
    <row r="593" spans="1:16" x14ac:dyDescent="0.25">
      <c r="A593" s="2"/>
      <c r="B593" s="2"/>
      <c r="F593" s="1"/>
      <c r="G593" s="1"/>
      <c r="I593" s="1"/>
      <c r="J593" s="1"/>
      <c r="L593" s="1"/>
      <c r="M593" s="1"/>
      <c r="O593" s="2"/>
      <c r="P593" s="2"/>
    </row>
    <row r="594" spans="1:16" x14ac:dyDescent="0.25">
      <c r="A594" s="2"/>
      <c r="B594" s="2"/>
      <c r="F594" s="1"/>
      <c r="G594" s="1"/>
      <c r="I594" s="1"/>
      <c r="J594" s="1"/>
      <c r="L594" s="1"/>
      <c r="M594" s="1"/>
      <c r="O594" s="2"/>
      <c r="P594" s="2"/>
    </row>
    <row r="595" spans="1:16" x14ac:dyDescent="0.25">
      <c r="A595" s="2"/>
      <c r="B595" s="2"/>
      <c r="F595" s="1"/>
      <c r="G595" s="1"/>
      <c r="I595" s="1"/>
      <c r="J595" s="1"/>
      <c r="L595" s="1"/>
      <c r="M595" s="1"/>
      <c r="O595" s="2"/>
      <c r="P595" s="2"/>
    </row>
    <row r="596" spans="1:16" x14ac:dyDescent="0.25">
      <c r="A596" s="2"/>
      <c r="B596" s="2"/>
      <c r="F596" s="1"/>
      <c r="G596" s="1"/>
      <c r="I596" s="1"/>
      <c r="J596" s="1"/>
      <c r="L596" s="1"/>
      <c r="M596" s="1"/>
      <c r="O596" s="2"/>
      <c r="P596" s="2"/>
    </row>
    <row r="597" spans="1:16" x14ac:dyDescent="0.25">
      <c r="A597" s="2"/>
      <c r="B597" s="2"/>
      <c r="F597" s="1"/>
      <c r="G597" s="1"/>
      <c r="I597" s="1"/>
      <c r="J597" s="1"/>
      <c r="L597" s="1"/>
      <c r="M597" s="1"/>
      <c r="O597" s="2"/>
      <c r="P597" s="2"/>
    </row>
    <row r="598" spans="1:16" x14ac:dyDescent="0.25">
      <c r="A598" s="2"/>
      <c r="B598" s="2"/>
      <c r="F598" s="1"/>
      <c r="G598" s="1"/>
      <c r="I598" s="1"/>
      <c r="J598" s="1"/>
      <c r="L598" s="1"/>
      <c r="M598" s="1"/>
      <c r="O598" s="2"/>
      <c r="P598" s="2"/>
    </row>
    <row r="599" spans="1:16" x14ac:dyDescent="0.25">
      <c r="A599" s="2"/>
      <c r="B599" s="2"/>
      <c r="F599" s="1"/>
      <c r="G599" s="1"/>
      <c r="I599" s="1"/>
      <c r="J599" s="1"/>
      <c r="L599" s="1"/>
      <c r="M599" s="1"/>
      <c r="O599" s="2"/>
      <c r="P599" s="2"/>
    </row>
    <row r="600" spans="1:16" x14ac:dyDescent="0.25">
      <c r="A600" s="2"/>
      <c r="B600" s="2"/>
      <c r="F600" s="1"/>
      <c r="G600" s="1"/>
      <c r="I600" s="1"/>
      <c r="J600" s="1"/>
      <c r="L600" s="1"/>
      <c r="M600" s="1"/>
      <c r="O600" s="2"/>
      <c r="P600" s="2"/>
    </row>
    <row r="601" spans="1:16" x14ac:dyDescent="0.25">
      <c r="A601" s="2"/>
      <c r="B601" s="2"/>
      <c r="F601" s="1"/>
      <c r="G601" s="1"/>
      <c r="I601" s="1"/>
      <c r="J601" s="1"/>
      <c r="L601" s="1"/>
      <c r="M601" s="1"/>
      <c r="O601" s="2"/>
      <c r="P601" s="2"/>
    </row>
    <row r="602" spans="1:16" x14ac:dyDescent="0.25">
      <c r="A602" s="2"/>
      <c r="B602" s="2"/>
      <c r="F602" s="1"/>
      <c r="G602" s="1"/>
      <c r="I602" s="1"/>
      <c r="J602" s="1"/>
      <c r="L602" s="1"/>
      <c r="M602" s="1"/>
      <c r="O602" s="2"/>
      <c r="P602" s="2"/>
    </row>
    <row r="603" spans="1:16" x14ac:dyDescent="0.25">
      <c r="A603" s="2"/>
      <c r="B603" s="2"/>
      <c r="F603" s="1"/>
      <c r="G603" s="1"/>
      <c r="I603" s="1"/>
      <c r="J603" s="1"/>
      <c r="L603" s="1"/>
      <c r="M603" s="1"/>
      <c r="O603" s="2"/>
      <c r="P603" s="2"/>
    </row>
    <row r="604" spans="1:16" x14ac:dyDescent="0.25">
      <c r="A604" s="2"/>
      <c r="B604" s="2"/>
      <c r="F604" s="1"/>
      <c r="G604" s="1"/>
      <c r="I604" s="1"/>
      <c r="J604" s="1"/>
      <c r="L604" s="1"/>
      <c r="M604" s="1"/>
      <c r="O604" s="2"/>
      <c r="P604" s="2"/>
    </row>
    <row r="605" spans="1:16" x14ac:dyDescent="0.25">
      <c r="A605" s="2"/>
      <c r="B605" s="2"/>
      <c r="F605" s="1"/>
      <c r="G605" s="1"/>
      <c r="I605" s="1"/>
      <c r="J605" s="1"/>
      <c r="L605" s="1"/>
      <c r="M605" s="1"/>
      <c r="O605" s="2"/>
      <c r="P605" s="2"/>
    </row>
    <row r="606" spans="1:16" x14ac:dyDescent="0.25">
      <c r="A606" s="2"/>
      <c r="B606" s="2"/>
      <c r="F606" s="1"/>
      <c r="G606" s="1"/>
      <c r="I606" s="1"/>
      <c r="J606" s="1"/>
      <c r="L606" s="1"/>
      <c r="M606" s="1"/>
      <c r="O606" s="2"/>
      <c r="P606" s="2"/>
    </row>
    <row r="607" spans="1:16" x14ac:dyDescent="0.25">
      <c r="A607" s="2"/>
      <c r="B607" s="2"/>
      <c r="F607" s="1"/>
      <c r="G607" s="1"/>
      <c r="I607" s="1"/>
      <c r="J607" s="1"/>
      <c r="L607" s="1"/>
      <c r="M607" s="1"/>
      <c r="O607" s="2"/>
      <c r="P607" s="2"/>
    </row>
    <row r="608" spans="1:16" x14ac:dyDescent="0.25">
      <c r="A608" s="2"/>
      <c r="B608" s="2"/>
      <c r="F608" s="1"/>
      <c r="G608" s="1"/>
      <c r="I608" s="1"/>
      <c r="J608" s="1"/>
      <c r="L608" s="1"/>
      <c r="M608" s="1"/>
      <c r="O608" s="2"/>
      <c r="P608" s="2"/>
    </row>
    <row r="609" spans="1:16" x14ac:dyDescent="0.25">
      <c r="A609" s="2"/>
      <c r="B609" s="2"/>
      <c r="F609" s="1"/>
      <c r="G609" s="1"/>
      <c r="I609" s="1"/>
      <c r="J609" s="1"/>
      <c r="L609" s="1"/>
      <c r="M609" s="1"/>
      <c r="O609" s="2"/>
      <c r="P609" s="2"/>
    </row>
    <row r="610" spans="1:16" x14ac:dyDescent="0.25">
      <c r="A610" s="2"/>
      <c r="B610" s="2"/>
      <c r="F610" s="1"/>
      <c r="G610" s="1"/>
      <c r="I610" s="1"/>
      <c r="J610" s="1"/>
      <c r="L610" s="1"/>
      <c r="M610" s="1"/>
      <c r="O610" s="2"/>
      <c r="P610" s="2"/>
    </row>
    <row r="611" spans="1:16" x14ac:dyDescent="0.25">
      <c r="A611" s="2"/>
      <c r="B611" s="2"/>
      <c r="F611" s="1"/>
      <c r="G611" s="1"/>
      <c r="I611" s="1"/>
      <c r="J611" s="1"/>
      <c r="L611" s="1"/>
      <c r="M611" s="1"/>
      <c r="O611" s="2"/>
      <c r="P611" s="2"/>
    </row>
    <row r="612" spans="1:16" x14ac:dyDescent="0.25">
      <c r="A612" s="2"/>
      <c r="B612" s="2"/>
      <c r="F612" s="1"/>
      <c r="G612" s="1"/>
      <c r="I612" s="1"/>
      <c r="J612" s="1"/>
      <c r="L612" s="1"/>
      <c r="M612" s="1"/>
      <c r="O612" s="2"/>
      <c r="P612" s="2"/>
    </row>
    <row r="613" spans="1:16" x14ac:dyDescent="0.25">
      <c r="A613" s="2"/>
      <c r="B613" s="2"/>
      <c r="F613" s="1"/>
      <c r="G613" s="1"/>
      <c r="I613" s="1"/>
      <c r="J613" s="1"/>
      <c r="L613" s="1"/>
      <c r="M613" s="1"/>
      <c r="O613" s="2"/>
      <c r="P613" s="2"/>
    </row>
    <row r="614" spans="1:16" x14ac:dyDescent="0.25">
      <c r="A614" s="2"/>
      <c r="B614" s="2"/>
      <c r="F614" s="1"/>
      <c r="G614" s="1"/>
      <c r="I614" s="1"/>
      <c r="J614" s="1"/>
      <c r="L614" s="1"/>
      <c r="M614" s="1"/>
      <c r="O614" s="2"/>
      <c r="P614" s="2"/>
    </row>
    <row r="615" spans="1:16" x14ac:dyDescent="0.25">
      <c r="A615" s="2"/>
      <c r="B615" s="2"/>
      <c r="F615" s="1"/>
      <c r="G615" s="1"/>
      <c r="I615" s="1"/>
      <c r="J615" s="1"/>
      <c r="L615" s="1"/>
      <c r="M615" s="1"/>
      <c r="O615" s="2"/>
      <c r="P615" s="2"/>
    </row>
    <row r="616" spans="1:16" x14ac:dyDescent="0.25">
      <c r="A616" s="2"/>
      <c r="B616" s="2"/>
      <c r="F616" s="1"/>
      <c r="G616" s="1"/>
      <c r="I616" s="1"/>
      <c r="J616" s="1"/>
      <c r="L616" s="1"/>
      <c r="M616" s="1"/>
      <c r="O616" s="2"/>
      <c r="P616" s="2"/>
    </row>
    <row r="617" spans="1:16" x14ac:dyDescent="0.25">
      <c r="A617" s="2"/>
      <c r="B617" s="2"/>
      <c r="F617" s="1"/>
      <c r="G617" s="1"/>
      <c r="I617" s="1"/>
      <c r="J617" s="1"/>
      <c r="L617" s="1"/>
      <c r="M617" s="1"/>
      <c r="O617" s="2"/>
      <c r="P617" s="2"/>
    </row>
    <row r="618" spans="1:16" x14ac:dyDescent="0.25">
      <c r="A618" s="2"/>
      <c r="B618" s="2"/>
      <c r="F618" s="1"/>
      <c r="G618" s="1"/>
      <c r="I618" s="1"/>
      <c r="J618" s="1"/>
      <c r="L618" s="1"/>
      <c r="M618" s="1"/>
      <c r="O618" s="2"/>
      <c r="P618" s="2"/>
    </row>
    <row r="619" spans="1:16" x14ac:dyDescent="0.25">
      <c r="A619" s="2"/>
      <c r="B619" s="2"/>
      <c r="F619" s="1"/>
      <c r="G619" s="1"/>
      <c r="I619" s="1"/>
      <c r="J619" s="1"/>
      <c r="L619" s="1"/>
      <c r="M619" s="1"/>
      <c r="O619" s="2"/>
      <c r="P619" s="2"/>
    </row>
    <row r="620" spans="1:16" x14ac:dyDescent="0.25">
      <c r="A620" s="2"/>
      <c r="B620" s="2"/>
      <c r="F620" s="1"/>
      <c r="G620" s="1"/>
      <c r="I620" s="1"/>
      <c r="J620" s="1"/>
      <c r="L620" s="1"/>
      <c r="M620" s="1"/>
      <c r="O620" s="2"/>
      <c r="P620" s="2"/>
    </row>
    <row r="621" spans="1:16" x14ac:dyDescent="0.25">
      <c r="A621" s="2"/>
      <c r="B621" s="2"/>
      <c r="F621" s="1"/>
      <c r="G621" s="1"/>
      <c r="I621" s="1"/>
      <c r="J621" s="1"/>
      <c r="L621" s="1"/>
      <c r="M621" s="1"/>
      <c r="O621" s="2"/>
      <c r="P621" s="2"/>
    </row>
    <row r="622" spans="1:16" x14ac:dyDescent="0.25">
      <c r="A622" s="2"/>
      <c r="B622" s="2"/>
      <c r="F622" s="1"/>
      <c r="G622" s="1"/>
      <c r="I622" s="1"/>
      <c r="J622" s="1"/>
      <c r="L622" s="1"/>
      <c r="M622" s="1"/>
      <c r="O622" s="2"/>
      <c r="P622" s="2"/>
    </row>
    <row r="623" spans="1:16" x14ac:dyDescent="0.25">
      <c r="A623" s="2"/>
      <c r="B623" s="2"/>
      <c r="F623" s="1"/>
      <c r="G623" s="1"/>
      <c r="I623" s="1"/>
      <c r="J623" s="1"/>
      <c r="L623" s="1"/>
      <c r="M623" s="1"/>
      <c r="O623" s="2"/>
      <c r="P623" s="2"/>
    </row>
    <row r="624" spans="1:16" x14ac:dyDescent="0.25">
      <c r="A624" s="2"/>
      <c r="B624" s="2"/>
      <c r="F624" s="1"/>
      <c r="G624" s="1"/>
      <c r="I624" s="1"/>
      <c r="J624" s="1"/>
      <c r="L624" s="1"/>
      <c r="M624" s="1"/>
      <c r="O624" s="2"/>
      <c r="P624" s="2"/>
    </row>
    <row r="625" spans="1:16" x14ac:dyDescent="0.25">
      <c r="A625" s="2"/>
      <c r="B625" s="2"/>
      <c r="F625" s="1"/>
      <c r="G625" s="1"/>
      <c r="I625" s="1"/>
      <c r="J625" s="1"/>
      <c r="L625" s="1"/>
      <c r="M625" s="1"/>
      <c r="O625" s="2"/>
      <c r="P625" s="2"/>
    </row>
    <row r="626" spans="1:16" x14ac:dyDescent="0.25">
      <c r="A626" s="2"/>
      <c r="B626" s="2"/>
      <c r="F626" s="1"/>
      <c r="G626" s="1"/>
      <c r="I626" s="1"/>
      <c r="J626" s="1"/>
      <c r="L626" s="1"/>
      <c r="M626" s="1"/>
      <c r="O626" s="2"/>
      <c r="P626" s="2"/>
    </row>
    <row r="627" spans="1:16" x14ac:dyDescent="0.25">
      <c r="A627" s="2"/>
      <c r="B627" s="2"/>
      <c r="F627" s="1"/>
      <c r="G627" s="1"/>
      <c r="I627" s="1"/>
      <c r="J627" s="1"/>
      <c r="L627" s="1"/>
      <c r="M627" s="1"/>
      <c r="O627" s="2"/>
      <c r="P627" s="2"/>
    </row>
    <row r="628" spans="1:16" x14ac:dyDescent="0.25">
      <c r="A628" s="2"/>
      <c r="B628" s="2"/>
      <c r="F628" s="1"/>
      <c r="G628" s="1"/>
      <c r="I628" s="1"/>
      <c r="J628" s="1"/>
      <c r="L628" s="1"/>
      <c r="M628" s="1"/>
      <c r="O628" s="2"/>
      <c r="P628" s="2"/>
    </row>
    <row r="629" spans="1:16" x14ac:dyDescent="0.25">
      <c r="A629" s="2"/>
      <c r="B629" s="2"/>
      <c r="F629" s="1"/>
      <c r="G629" s="1"/>
      <c r="I629" s="1"/>
      <c r="J629" s="1"/>
      <c r="L629" s="1"/>
      <c r="M629" s="1"/>
      <c r="O629" s="2"/>
      <c r="P629" s="2"/>
    </row>
    <row r="630" spans="1:16" x14ac:dyDescent="0.25">
      <c r="A630" s="2"/>
      <c r="B630" s="2"/>
      <c r="F630" s="1"/>
      <c r="G630" s="1"/>
      <c r="I630" s="1"/>
      <c r="J630" s="1"/>
      <c r="L630" s="1"/>
      <c r="M630" s="1"/>
      <c r="O630" s="2"/>
      <c r="P630" s="2"/>
    </row>
    <row r="631" spans="1:16" x14ac:dyDescent="0.25">
      <c r="A631" s="2"/>
      <c r="B631" s="2"/>
      <c r="F631" s="1"/>
      <c r="G631" s="1"/>
      <c r="I631" s="1"/>
      <c r="J631" s="1"/>
      <c r="L631" s="1"/>
      <c r="M631" s="1"/>
      <c r="O631" s="2"/>
      <c r="P631" s="2"/>
    </row>
    <row r="632" spans="1:16" x14ac:dyDescent="0.25">
      <c r="A632" s="2"/>
      <c r="B632" s="2"/>
      <c r="F632" s="1"/>
      <c r="G632" s="1"/>
      <c r="I632" s="1"/>
      <c r="J632" s="1"/>
      <c r="L632" s="1"/>
      <c r="M632" s="1"/>
      <c r="O632" s="2"/>
      <c r="P632" s="2"/>
    </row>
    <row r="633" spans="1:16" x14ac:dyDescent="0.25">
      <c r="A633" s="2"/>
      <c r="B633" s="2"/>
      <c r="F633" s="1"/>
      <c r="G633" s="1"/>
      <c r="I633" s="1"/>
      <c r="J633" s="1"/>
      <c r="L633" s="1"/>
      <c r="M633" s="1"/>
      <c r="O633" s="2"/>
      <c r="P633" s="2"/>
    </row>
    <row r="634" spans="1:16" x14ac:dyDescent="0.25">
      <c r="A634" s="2"/>
      <c r="B634" s="2"/>
      <c r="F634" s="1"/>
      <c r="G634" s="1"/>
      <c r="I634" s="1"/>
      <c r="J634" s="1"/>
      <c r="L634" s="1"/>
      <c r="M634" s="1"/>
      <c r="O634" s="2"/>
      <c r="P634" s="2"/>
    </row>
    <row r="635" spans="1:16" x14ac:dyDescent="0.25">
      <c r="A635" s="2"/>
      <c r="B635" s="2"/>
      <c r="F635" s="1"/>
      <c r="G635" s="1"/>
      <c r="I635" s="1"/>
      <c r="J635" s="1"/>
      <c r="L635" s="1"/>
      <c r="M635" s="1"/>
      <c r="O635" s="2"/>
      <c r="P635" s="2"/>
    </row>
    <row r="636" spans="1:16" x14ac:dyDescent="0.25">
      <c r="A636" s="2"/>
      <c r="B636" s="2"/>
      <c r="F636" s="1"/>
      <c r="G636" s="1"/>
      <c r="I636" s="1"/>
      <c r="J636" s="1"/>
      <c r="L636" s="1"/>
      <c r="M636" s="1"/>
      <c r="O636" s="2"/>
      <c r="P636" s="2"/>
    </row>
    <row r="637" spans="1:16" x14ac:dyDescent="0.25">
      <c r="A637" s="2"/>
      <c r="B637" s="2"/>
      <c r="F637" s="1"/>
      <c r="G637" s="1"/>
      <c r="I637" s="1"/>
      <c r="J637" s="1"/>
      <c r="L637" s="1"/>
      <c r="M637" s="1"/>
      <c r="O637" s="2"/>
      <c r="P637" s="2"/>
    </row>
    <row r="638" spans="1:16" x14ac:dyDescent="0.25">
      <c r="A638" s="2"/>
      <c r="B638" s="2"/>
      <c r="F638" s="1"/>
      <c r="G638" s="1"/>
      <c r="I638" s="1"/>
      <c r="J638" s="1"/>
      <c r="L638" s="1"/>
      <c r="M638" s="1"/>
      <c r="O638" s="2"/>
      <c r="P638" s="2"/>
    </row>
    <row r="639" spans="1:16" x14ac:dyDescent="0.25">
      <c r="A639" s="2"/>
      <c r="B639" s="2"/>
      <c r="F639" s="1"/>
      <c r="G639" s="1"/>
      <c r="I639" s="1"/>
      <c r="J639" s="1"/>
      <c r="L639" s="1"/>
      <c r="M639" s="1"/>
      <c r="O639" s="2"/>
      <c r="P639" s="2"/>
    </row>
    <row r="640" spans="1:16" x14ac:dyDescent="0.25">
      <c r="A640" s="2"/>
      <c r="B640" s="2"/>
      <c r="F640" s="1"/>
      <c r="G640" s="1"/>
      <c r="I640" s="1"/>
      <c r="J640" s="1"/>
      <c r="L640" s="1"/>
      <c r="M640" s="1"/>
      <c r="O640" s="2"/>
      <c r="P640" s="2"/>
    </row>
    <row r="641" spans="1:16" x14ac:dyDescent="0.25">
      <c r="A641" s="2"/>
      <c r="B641" s="2"/>
      <c r="F641" s="1"/>
      <c r="G641" s="1"/>
      <c r="I641" s="1"/>
      <c r="J641" s="1"/>
      <c r="L641" s="1"/>
      <c r="M641" s="1"/>
      <c r="O641" s="2"/>
      <c r="P641" s="2"/>
    </row>
    <row r="642" spans="1:16" x14ac:dyDescent="0.25">
      <c r="A642" s="2"/>
      <c r="B642" s="2"/>
      <c r="F642" s="1"/>
      <c r="G642" s="1"/>
      <c r="I642" s="1"/>
      <c r="J642" s="1"/>
      <c r="L642" s="1"/>
      <c r="M642" s="1"/>
      <c r="O642" s="2"/>
      <c r="P642" s="2"/>
    </row>
    <row r="643" spans="1:16" x14ac:dyDescent="0.25">
      <c r="A643" s="2"/>
      <c r="B643" s="2"/>
      <c r="F643" s="1"/>
      <c r="G643" s="1"/>
      <c r="I643" s="1"/>
      <c r="J643" s="1"/>
      <c r="L643" s="1"/>
      <c r="M643" s="1"/>
      <c r="O643" s="2"/>
      <c r="P643" s="2"/>
    </row>
    <row r="644" spans="1:16" x14ac:dyDescent="0.25">
      <c r="A644" s="2"/>
      <c r="B644" s="2"/>
      <c r="F644" s="1"/>
      <c r="G644" s="1"/>
      <c r="I644" s="1"/>
      <c r="J644" s="1"/>
      <c r="L644" s="1"/>
      <c r="M644" s="1"/>
      <c r="O644" s="2"/>
      <c r="P644" s="2"/>
    </row>
    <row r="645" spans="1:16" x14ac:dyDescent="0.25">
      <c r="A645" s="2"/>
      <c r="B645" s="2"/>
      <c r="F645" s="1"/>
      <c r="G645" s="1"/>
      <c r="I645" s="1"/>
      <c r="J645" s="1"/>
      <c r="L645" s="1"/>
      <c r="M645" s="1"/>
      <c r="O645" s="2"/>
      <c r="P645" s="2"/>
    </row>
    <row r="646" spans="1:16" x14ac:dyDescent="0.25">
      <c r="A646" s="2"/>
      <c r="B646" s="2"/>
      <c r="F646" s="1"/>
      <c r="G646" s="1"/>
      <c r="I646" s="1"/>
      <c r="J646" s="1"/>
      <c r="L646" s="1"/>
      <c r="M646" s="1"/>
      <c r="O646" s="2"/>
      <c r="P646" s="2"/>
    </row>
    <row r="647" spans="1:16" x14ac:dyDescent="0.25">
      <c r="A647" s="2"/>
      <c r="B647" s="2"/>
      <c r="F647" s="1"/>
      <c r="G647" s="1"/>
      <c r="I647" s="1"/>
      <c r="J647" s="1"/>
      <c r="L647" s="1"/>
      <c r="M647" s="1"/>
      <c r="O647" s="2"/>
      <c r="P647" s="2"/>
    </row>
    <row r="648" spans="1:16" x14ac:dyDescent="0.25">
      <c r="A648" s="2"/>
      <c r="B648" s="2"/>
      <c r="F648" s="1"/>
      <c r="G648" s="1"/>
      <c r="I648" s="1"/>
      <c r="J648" s="1"/>
      <c r="L648" s="1"/>
      <c r="M648" s="1"/>
      <c r="O648" s="2"/>
      <c r="P648" s="2"/>
    </row>
    <row r="649" spans="1:16" x14ac:dyDescent="0.25">
      <c r="A649" s="2"/>
      <c r="B649" s="2"/>
      <c r="F649" s="1"/>
      <c r="G649" s="1"/>
      <c r="I649" s="1"/>
      <c r="J649" s="1"/>
      <c r="L649" s="1"/>
      <c r="M649" s="1"/>
      <c r="O649" s="2"/>
      <c r="P649" s="2"/>
    </row>
    <row r="650" spans="1:16" x14ac:dyDescent="0.25">
      <c r="A650" s="2"/>
      <c r="B650" s="2"/>
      <c r="F650" s="1"/>
      <c r="G650" s="1"/>
      <c r="I650" s="1"/>
      <c r="J650" s="1"/>
      <c r="L650" s="1"/>
      <c r="M650" s="1"/>
      <c r="O650" s="2"/>
      <c r="P650" s="2"/>
    </row>
    <row r="651" spans="1:16" x14ac:dyDescent="0.25">
      <c r="A651" s="2"/>
      <c r="B651" s="2"/>
      <c r="F651" s="1"/>
      <c r="G651" s="1"/>
      <c r="I651" s="1"/>
      <c r="J651" s="1"/>
      <c r="L651" s="1"/>
      <c r="M651" s="1"/>
      <c r="O651" s="2"/>
      <c r="P651" s="2"/>
    </row>
    <row r="652" spans="1:16" x14ac:dyDescent="0.25">
      <c r="A652" s="2"/>
      <c r="B652" s="2"/>
      <c r="F652" s="1"/>
      <c r="G652" s="1"/>
      <c r="I652" s="1"/>
      <c r="J652" s="1"/>
      <c r="L652" s="1"/>
      <c r="M652" s="1"/>
      <c r="O652" s="2"/>
      <c r="P652" s="2"/>
    </row>
    <row r="653" spans="1:16" x14ac:dyDescent="0.25">
      <c r="A653" s="2"/>
      <c r="B653" s="2"/>
      <c r="F653" s="1"/>
      <c r="G653" s="1"/>
      <c r="I653" s="1"/>
      <c r="J653" s="1"/>
      <c r="L653" s="1"/>
      <c r="M653" s="1"/>
      <c r="O653" s="2"/>
      <c r="P653" s="2"/>
    </row>
    <row r="654" spans="1:16" x14ac:dyDescent="0.25">
      <c r="A654" s="2"/>
      <c r="B654" s="2"/>
      <c r="F654" s="1"/>
      <c r="G654" s="1"/>
      <c r="I654" s="1"/>
      <c r="J654" s="1"/>
      <c r="L654" s="1"/>
      <c r="M654" s="1"/>
      <c r="O654" s="2"/>
      <c r="P654" s="2"/>
    </row>
    <row r="655" spans="1:16" x14ac:dyDescent="0.25">
      <c r="A655" s="2"/>
      <c r="B655" s="2"/>
      <c r="F655" s="1"/>
      <c r="G655" s="1"/>
      <c r="I655" s="1"/>
      <c r="J655" s="1"/>
      <c r="L655" s="1"/>
      <c r="M655" s="1"/>
      <c r="O655" s="2"/>
      <c r="P655" s="2"/>
    </row>
    <row r="656" spans="1:16" x14ac:dyDescent="0.25">
      <c r="A656" s="2"/>
      <c r="B656" s="2"/>
      <c r="F656" s="1"/>
      <c r="G656" s="1"/>
      <c r="I656" s="1"/>
      <c r="J656" s="1"/>
      <c r="L656" s="1"/>
      <c r="M656" s="1"/>
      <c r="O656" s="2"/>
      <c r="P656" s="2"/>
    </row>
    <row r="657" spans="1:16" x14ac:dyDescent="0.25">
      <c r="A657" s="2"/>
      <c r="B657" s="2"/>
      <c r="F657" s="1"/>
      <c r="G657" s="1"/>
      <c r="I657" s="1"/>
      <c r="J657" s="1"/>
      <c r="L657" s="1"/>
      <c r="M657" s="1"/>
      <c r="O657" s="2"/>
      <c r="P657" s="2"/>
    </row>
    <row r="658" spans="1:16" x14ac:dyDescent="0.25">
      <c r="A658" s="2"/>
      <c r="B658" s="2"/>
      <c r="F658" s="1"/>
      <c r="G658" s="1"/>
      <c r="I658" s="1"/>
      <c r="J658" s="1"/>
      <c r="L658" s="1"/>
      <c r="M658" s="1"/>
      <c r="O658" s="2"/>
      <c r="P658" s="2"/>
    </row>
    <row r="659" spans="1:16" x14ac:dyDescent="0.25">
      <c r="A659" s="2"/>
      <c r="B659" s="2"/>
      <c r="F659" s="1"/>
      <c r="G659" s="1"/>
      <c r="I659" s="1"/>
      <c r="J659" s="1"/>
      <c r="L659" s="1"/>
      <c r="M659" s="1"/>
      <c r="O659" s="2"/>
      <c r="P659" s="2"/>
    </row>
    <row r="660" spans="1:16" x14ac:dyDescent="0.25">
      <c r="A660" s="2"/>
      <c r="B660" s="2"/>
      <c r="F660" s="1"/>
      <c r="G660" s="1"/>
      <c r="I660" s="1"/>
      <c r="J660" s="1"/>
      <c r="L660" s="1"/>
      <c r="M660" s="1"/>
      <c r="O660" s="2"/>
      <c r="P660" s="2"/>
    </row>
    <row r="661" spans="1:16" x14ac:dyDescent="0.25">
      <c r="A661" s="2"/>
      <c r="B661" s="2"/>
      <c r="F661" s="1"/>
      <c r="G661" s="1"/>
      <c r="I661" s="1"/>
      <c r="J661" s="1"/>
      <c r="L661" s="1"/>
      <c r="M661" s="1"/>
      <c r="O661" s="2"/>
      <c r="P661" s="2"/>
    </row>
    <row r="662" spans="1:16" x14ac:dyDescent="0.25">
      <c r="A662" s="2"/>
      <c r="B662" s="2"/>
      <c r="F662" s="1"/>
      <c r="G662" s="1"/>
      <c r="I662" s="1"/>
      <c r="J662" s="1"/>
      <c r="L662" s="1"/>
      <c r="M662" s="1"/>
      <c r="O662" s="2"/>
      <c r="P662" s="2"/>
    </row>
    <row r="663" spans="1:16" x14ac:dyDescent="0.25">
      <c r="A663" s="2"/>
      <c r="B663" s="2"/>
      <c r="F663" s="1"/>
      <c r="G663" s="1"/>
      <c r="I663" s="1"/>
      <c r="J663" s="1"/>
      <c r="L663" s="1"/>
      <c r="M663" s="1"/>
      <c r="O663" s="2"/>
      <c r="P663" s="2"/>
    </row>
    <row r="664" spans="1:16" x14ac:dyDescent="0.25">
      <c r="A664" s="2"/>
      <c r="B664" s="2"/>
      <c r="F664" s="1"/>
      <c r="G664" s="1"/>
      <c r="I664" s="1"/>
      <c r="J664" s="1"/>
      <c r="L664" s="1"/>
      <c r="M664" s="1"/>
      <c r="O664" s="2"/>
      <c r="P664" s="2"/>
    </row>
    <row r="665" spans="1:16" x14ac:dyDescent="0.25">
      <c r="A665" s="2"/>
      <c r="B665" s="2"/>
      <c r="F665" s="1"/>
      <c r="G665" s="1"/>
      <c r="I665" s="1"/>
      <c r="J665" s="1"/>
      <c r="L665" s="1"/>
      <c r="M665" s="1"/>
      <c r="O665" s="2"/>
      <c r="P665" s="2"/>
    </row>
    <row r="666" spans="1:16" x14ac:dyDescent="0.25">
      <c r="A666" s="2"/>
      <c r="B666" s="2"/>
      <c r="F666" s="1"/>
      <c r="G666" s="1"/>
      <c r="I666" s="1"/>
      <c r="J666" s="1"/>
      <c r="L666" s="1"/>
      <c r="M666" s="1"/>
      <c r="O666" s="2"/>
      <c r="P666" s="2"/>
    </row>
    <row r="667" spans="1:16" x14ac:dyDescent="0.25">
      <c r="A667" s="2"/>
      <c r="B667" s="2"/>
      <c r="F667" s="1"/>
      <c r="G667" s="1"/>
      <c r="I667" s="1"/>
      <c r="J667" s="1"/>
      <c r="L667" s="1"/>
      <c r="M667" s="1"/>
      <c r="O667" s="2"/>
      <c r="P667" s="2"/>
    </row>
    <row r="668" spans="1:16" x14ac:dyDescent="0.25">
      <c r="A668" s="2"/>
      <c r="B668" s="2"/>
      <c r="F668" s="1"/>
      <c r="G668" s="1"/>
      <c r="I668" s="1"/>
      <c r="J668" s="1"/>
      <c r="L668" s="1"/>
      <c r="M668" s="1"/>
      <c r="O668" s="2"/>
      <c r="P668" s="2"/>
    </row>
    <row r="669" spans="1:16" x14ac:dyDescent="0.25">
      <c r="A669" s="2"/>
      <c r="B669" s="2"/>
      <c r="F669" s="1"/>
      <c r="G669" s="1"/>
      <c r="I669" s="1"/>
      <c r="J669" s="1"/>
      <c r="L669" s="1"/>
      <c r="M669" s="1"/>
      <c r="O669" s="2"/>
      <c r="P669" s="2"/>
    </row>
    <row r="670" spans="1:16" x14ac:dyDescent="0.25">
      <c r="A670" s="2"/>
      <c r="B670" s="2"/>
      <c r="F670" s="1"/>
      <c r="G670" s="1"/>
      <c r="I670" s="1"/>
      <c r="J670" s="1"/>
      <c r="L670" s="1"/>
      <c r="M670" s="1"/>
      <c r="O670" s="2"/>
      <c r="P670" s="2"/>
    </row>
    <row r="671" spans="1:16" x14ac:dyDescent="0.25">
      <c r="A671" s="2"/>
      <c r="B671" s="2"/>
      <c r="F671" s="1"/>
      <c r="G671" s="1"/>
      <c r="I671" s="1"/>
      <c r="J671" s="1"/>
      <c r="L671" s="1"/>
      <c r="M671" s="1"/>
      <c r="O671" s="2"/>
      <c r="P671" s="2"/>
    </row>
    <row r="672" spans="1:16" x14ac:dyDescent="0.25">
      <c r="A672" s="2"/>
      <c r="B672" s="2"/>
      <c r="F672" s="1"/>
      <c r="G672" s="1"/>
      <c r="I672" s="1"/>
      <c r="J672" s="1"/>
      <c r="L672" s="1"/>
      <c r="M672" s="1"/>
      <c r="O672" s="2"/>
      <c r="P672" s="2"/>
    </row>
    <row r="673" spans="1:16" x14ac:dyDescent="0.25">
      <c r="A673" s="2"/>
      <c r="B673" s="2"/>
      <c r="F673" s="1"/>
      <c r="G673" s="1"/>
      <c r="I673" s="1"/>
      <c r="J673" s="1"/>
      <c r="L673" s="1"/>
      <c r="M673" s="1"/>
      <c r="O673" s="2"/>
      <c r="P673" s="2"/>
    </row>
    <row r="674" spans="1:16" x14ac:dyDescent="0.25">
      <c r="A674" s="2"/>
      <c r="B674" s="2"/>
      <c r="F674" s="1"/>
      <c r="G674" s="1"/>
      <c r="I674" s="1"/>
      <c r="J674" s="1"/>
      <c r="L674" s="1"/>
      <c r="M674" s="1"/>
      <c r="O674" s="2"/>
      <c r="P674" s="2"/>
    </row>
    <row r="675" spans="1:16" x14ac:dyDescent="0.25">
      <c r="A675" s="2"/>
      <c r="B675" s="2"/>
      <c r="F675" s="1"/>
      <c r="G675" s="1"/>
      <c r="I675" s="1"/>
      <c r="J675" s="1"/>
      <c r="L675" s="1"/>
      <c r="M675" s="1"/>
      <c r="O675" s="2"/>
      <c r="P675" s="2"/>
    </row>
    <row r="676" spans="1:16" x14ac:dyDescent="0.25">
      <c r="A676" s="2"/>
      <c r="B676" s="2"/>
      <c r="F676" s="1"/>
      <c r="G676" s="1"/>
      <c r="I676" s="1"/>
      <c r="J676" s="1"/>
      <c r="L676" s="1"/>
      <c r="M676" s="1"/>
      <c r="O676" s="2"/>
      <c r="P676" s="2"/>
    </row>
    <row r="677" spans="1:16" x14ac:dyDescent="0.25">
      <c r="A677" s="2"/>
      <c r="B677" s="2"/>
      <c r="F677" s="1"/>
      <c r="G677" s="1"/>
      <c r="I677" s="1"/>
      <c r="J677" s="1"/>
      <c r="L677" s="1"/>
      <c r="M677" s="1"/>
      <c r="O677" s="2"/>
      <c r="P677" s="2"/>
    </row>
    <row r="678" spans="1:16" x14ac:dyDescent="0.25">
      <c r="A678" s="2"/>
      <c r="B678" s="2"/>
      <c r="F678" s="1"/>
      <c r="G678" s="1"/>
      <c r="I678" s="1"/>
      <c r="J678" s="1"/>
      <c r="L678" s="1"/>
      <c r="M678" s="1"/>
      <c r="O678" s="2"/>
      <c r="P678" s="2"/>
    </row>
    <row r="679" spans="1:16" x14ac:dyDescent="0.25">
      <c r="A679" s="2"/>
      <c r="B679" s="2"/>
      <c r="F679" s="1"/>
      <c r="G679" s="1"/>
      <c r="I679" s="1"/>
      <c r="J679" s="1"/>
      <c r="L679" s="1"/>
      <c r="M679" s="1"/>
      <c r="O679" s="2"/>
      <c r="P679" s="2"/>
    </row>
    <row r="680" spans="1:16" x14ac:dyDescent="0.25">
      <c r="A680" s="2"/>
      <c r="B680" s="2"/>
      <c r="F680" s="1"/>
      <c r="G680" s="1"/>
      <c r="I680" s="1"/>
      <c r="J680" s="1"/>
      <c r="L680" s="1"/>
      <c r="M680" s="1"/>
      <c r="O680" s="2"/>
      <c r="P680" s="2"/>
    </row>
    <row r="681" spans="1:16" x14ac:dyDescent="0.25">
      <c r="A681" s="2"/>
      <c r="B681" s="2"/>
      <c r="F681" s="1"/>
      <c r="G681" s="1"/>
      <c r="I681" s="1"/>
      <c r="J681" s="1"/>
      <c r="L681" s="1"/>
      <c r="M681" s="1"/>
      <c r="O681" s="2"/>
      <c r="P681" s="2"/>
    </row>
    <row r="682" spans="1:16" x14ac:dyDescent="0.25">
      <c r="A682" s="2"/>
      <c r="B682" s="2"/>
      <c r="F682" s="1"/>
      <c r="G682" s="1"/>
      <c r="I682" s="1"/>
      <c r="J682" s="1"/>
      <c r="L682" s="1"/>
      <c r="M682" s="1"/>
      <c r="O682" s="2"/>
      <c r="P682" s="2"/>
    </row>
    <row r="683" spans="1:16" x14ac:dyDescent="0.25">
      <c r="A683" s="2"/>
      <c r="B683" s="2"/>
      <c r="F683" s="1"/>
      <c r="G683" s="1"/>
      <c r="I683" s="1"/>
      <c r="J683" s="1"/>
      <c r="L683" s="1"/>
      <c r="M683" s="1"/>
      <c r="O683" s="2"/>
      <c r="P683" s="2"/>
    </row>
    <row r="684" spans="1:16" x14ac:dyDescent="0.25">
      <c r="A684" s="2"/>
      <c r="B684" s="2"/>
      <c r="F684" s="1"/>
      <c r="G684" s="1"/>
      <c r="I684" s="1"/>
      <c r="J684" s="1"/>
      <c r="L684" s="1"/>
      <c r="M684" s="1"/>
      <c r="O684" s="2"/>
      <c r="P684" s="2"/>
    </row>
    <row r="685" spans="1:16" x14ac:dyDescent="0.25">
      <c r="A685" s="2"/>
      <c r="B685" s="2"/>
      <c r="F685" s="1"/>
      <c r="G685" s="1"/>
      <c r="I685" s="1"/>
      <c r="J685" s="1"/>
      <c r="L685" s="1"/>
      <c r="M685" s="1"/>
      <c r="O685" s="2"/>
      <c r="P685" s="2"/>
    </row>
    <row r="686" spans="1:16" x14ac:dyDescent="0.25">
      <c r="A686" s="2"/>
      <c r="B686" s="2"/>
      <c r="F686" s="1"/>
      <c r="G686" s="1"/>
      <c r="I686" s="1"/>
      <c r="J686" s="1"/>
      <c r="L686" s="1"/>
      <c r="M686" s="1"/>
      <c r="O686" s="2"/>
      <c r="P686" s="2"/>
    </row>
    <row r="687" spans="1:16" x14ac:dyDescent="0.25">
      <c r="A687" s="2"/>
      <c r="B687" s="2"/>
      <c r="F687" s="1"/>
      <c r="G687" s="1"/>
      <c r="I687" s="1"/>
      <c r="J687" s="1"/>
      <c r="L687" s="1"/>
      <c r="M687" s="1"/>
      <c r="O687" s="2"/>
      <c r="P687" s="2"/>
    </row>
    <row r="688" spans="1:16" x14ac:dyDescent="0.25">
      <c r="A688" s="2"/>
      <c r="B688" s="2"/>
      <c r="F688" s="1"/>
      <c r="G688" s="1"/>
      <c r="I688" s="1"/>
      <c r="J688" s="1"/>
      <c r="L688" s="1"/>
      <c r="M688" s="1"/>
      <c r="O688" s="2"/>
      <c r="P688" s="2"/>
    </row>
    <row r="689" spans="1:16" x14ac:dyDescent="0.25">
      <c r="A689" s="2"/>
      <c r="B689" s="2"/>
      <c r="F689" s="1"/>
      <c r="G689" s="1"/>
      <c r="I689" s="1"/>
      <c r="J689" s="1"/>
      <c r="L689" s="1"/>
      <c r="M689" s="1"/>
      <c r="O689" s="2"/>
      <c r="P689" s="2"/>
    </row>
    <row r="690" spans="1:16" x14ac:dyDescent="0.25">
      <c r="A690" s="2"/>
      <c r="B690" s="2"/>
      <c r="F690" s="1"/>
      <c r="G690" s="1"/>
      <c r="I690" s="1"/>
      <c r="J690" s="1"/>
      <c r="L690" s="1"/>
      <c r="M690" s="1"/>
      <c r="O690" s="2"/>
      <c r="P690" s="2"/>
    </row>
    <row r="691" spans="1:16" x14ac:dyDescent="0.25">
      <c r="A691" s="2"/>
      <c r="B691" s="2"/>
      <c r="F691" s="1"/>
      <c r="G691" s="1"/>
      <c r="I691" s="1"/>
      <c r="J691" s="1"/>
      <c r="L691" s="1"/>
      <c r="M691" s="1"/>
      <c r="O691" s="2"/>
      <c r="P691" s="2"/>
    </row>
    <row r="692" spans="1:16" x14ac:dyDescent="0.25">
      <c r="A692" s="2"/>
      <c r="B692" s="2"/>
      <c r="F692" s="1"/>
      <c r="G692" s="1"/>
      <c r="I692" s="1"/>
      <c r="J692" s="1"/>
      <c r="L692" s="1"/>
      <c r="M692" s="1"/>
      <c r="O692" s="2"/>
      <c r="P692" s="2"/>
    </row>
    <row r="693" spans="1:16" x14ac:dyDescent="0.25">
      <c r="A693" s="2"/>
      <c r="B693" s="2"/>
      <c r="F693" s="1"/>
      <c r="G693" s="1"/>
      <c r="I693" s="1"/>
      <c r="J693" s="1"/>
      <c r="L693" s="1"/>
      <c r="M693" s="1"/>
      <c r="O693" s="2"/>
      <c r="P693" s="2"/>
    </row>
    <row r="694" spans="1:16" x14ac:dyDescent="0.25">
      <c r="A694" s="2"/>
      <c r="B694" s="2"/>
      <c r="F694" s="1"/>
      <c r="G694" s="1"/>
      <c r="I694" s="1"/>
      <c r="J694" s="1"/>
      <c r="L694" s="1"/>
      <c r="M694" s="1"/>
      <c r="O694" s="2"/>
      <c r="P694" s="2"/>
    </row>
    <row r="695" spans="1:16" x14ac:dyDescent="0.25">
      <c r="A695" s="2"/>
      <c r="B695" s="2"/>
      <c r="F695" s="1"/>
      <c r="G695" s="1"/>
      <c r="I695" s="1"/>
      <c r="J695" s="1"/>
      <c r="L695" s="1"/>
      <c r="M695" s="1"/>
      <c r="O695" s="2"/>
      <c r="P695" s="2"/>
    </row>
    <row r="696" spans="1:16" x14ac:dyDescent="0.25">
      <c r="A696" s="2"/>
      <c r="B696" s="2"/>
      <c r="F696" s="1"/>
      <c r="G696" s="1"/>
      <c r="I696" s="1"/>
      <c r="J696" s="1"/>
      <c r="L696" s="1"/>
      <c r="M696" s="1"/>
      <c r="O696" s="2"/>
      <c r="P696" s="2"/>
    </row>
    <row r="697" spans="1:16" x14ac:dyDescent="0.25">
      <c r="A697" s="2"/>
      <c r="B697" s="2"/>
      <c r="F697" s="1"/>
      <c r="G697" s="1"/>
      <c r="I697" s="1"/>
      <c r="J697" s="1"/>
      <c r="L697" s="1"/>
      <c r="M697" s="1"/>
      <c r="O697" s="2"/>
      <c r="P697" s="2"/>
    </row>
    <row r="698" spans="1:16" x14ac:dyDescent="0.25">
      <c r="A698" s="2"/>
      <c r="B698" s="2"/>
      <c r="F698" s="1"/>
      <c r="G698" s="1"/>
      <c r="I698" s="1"/>
      <c r="J698" s="1"/>
      <c r="L698" s="1"/>
      <c r="M698" s="1"/>
      <c r="O698" s="2"/>
      <c r="P698" s="2"/>
    </row>
    <row r="699" spans="1:16" x14ac:dyDescent="0.25">
      <c r="A699" s="2"/>
      <c r="B699" s="2"/>
      <c r="F699" s="1"/>
      <c r="G699" s="1"/>
      <c r="I699" s="1"/>
      <c r="J699" s="1"/>
      <c r="L699" s="1"/>
      <c r="M699" s="1"/>
      <c r="O699" s="2"/>
      <c r="P699" s="2"/>
    </row>
    <row r="700" spans="1:16" x14ac:dyDescent="0.25">
      <c r="A700" s="2"/>
      <c r="B700" s="2"/>
      <c r="F700" s="1"/>
      <c r="G700" s="1"/>
      <c r="I700" s="1"/>
      <c r="J700" s="1"/>
      <c r="L700" s="1"/>
      <c r="M700" s="1"/>
      <c r="O700" s="2"/>
      <c r="P700" s="2"/>
    </row>
    <row r="701" spans="1:16" x14ac:dyDescent="0.25">
      <c r="A701" s="2"/>
      <c r="B701" s="2"/>
      <c r="F701" s="1"/>
      <c r="G701" s="1"/>
      <c r="I701" s="1"/>
      <c r="J701" s="1"/>
      <c r="L701" s="1"/>
      <c r="M701" s="1"/>
      <c r="O701" s="2"/>
      <c r="P701" s="2"/>
    </row>
    <row r="702" spans="1:16" x14ac:dyDescent="0.25">
      <c r="A702" s="2"/>
      <c r="B702" s="2"/>
      <c r="F702" s="1"/>
      <c r="G702" s="1"/>
      <c r="I702" s="1"/>
      <c r="J702" s="1"/>
      <c r="L702" s="1"/>
      <c r="M702" s="1"/>
      <c r="O702" s="2"/>
      <c r="P702" s="2"/>
    </row>
    <row r="703" spans="1:16" x14ac:dyDescent="0.25">
      <c r="A703" s="2"/>
      <c r="B703" s="2"/>
      <c r="F703" s="1"/>
      <c r="G703" s="1"/>
      <c r="I703" s="1"/>
      <c r="J703" s="1"/>
      <c r="L703" s="1"/>
      <c r="M703" s="1"/>
      <c r="O703" s="2"/>
      <c r="P703" s="2"/>
    </row>
    <row r="704" spans="1:16" x14ac:dyDescent="0.25">
      <c r="A704" s="2"/>
      <c r="B704" s="2"/>
      <c r="F704" s="1"/>
      <c r="G704" s="1"/>
      <c r="I704" s="1"/>
      <c r="J704" s="1"/>
      <c r="L704" s="1"/>
      <c r="M704" s="1"/>
      <c r="O704" s="2"/>
      <c r="P704" s="2"/>
    </row>
    <row r="705" spans="1:16" x14ac:dyDescent="0.25">
      <c r="A705" s="2"/>
      <c r="B705" s="2"/>
      <c r="F705" s="1"/>
      <c r="G705" s="1"/>
      <c r="I705" s="1"/>
      <c r="J705" s="1"/>
      <c r="L705" s="1"/>
      <c r="M705" s="1"/>
      <c r="O705" s="2"/>
      <c r="P705" s="2"/>
    </row>
    <row r="706" spans="1:16" x14ac:dyDescent="0.25">
      <c r="A706" s="2"/>
      <c r="B706" s="2"/>
      <c r="F706" s="1"/>
      <c r="G706" s="1"/>
      <c r="I706" s="1"/>
      <c r="J706" s="1"/>
      <c r="L706" s="1"/>
      <c r="M706" s="1"/>
      <c r="O706" s="2"/>
      <c r="P706" s="2"/>
    </row>
    <row r="707" spans="1:16" x14ac:dyDescent="0.25">
      <c r="A707" s="2"/>
      <c r="B707" s="2"/>
      <c r="F707" s="1"/>
      <c r="G707" s="1"/>
      <c r="I707" s="1"/>
      <c r="J707" s="1"/>
      <c r="L707" s="1"/>
      <c r="M707" s="1"/>
      <c r="O707" s="2"/>
      <c r="P707" s="2"/>
    </row>
    <row r="708" spans="1:16" x14ac:dyDescent="0.25">
      <c r="A708" s="2"/>
      <c r="B708" s="2"/>
      <c r="F708" s="1"/>
      <c r="G708" s="1"/>
      <c r="I708" s="1"/>
      <c r="J708" s="1"/>
      <c r="L708" s="1"/>
      <c r="M708" s="1"/>
      <c r="O708" s="2"/>
      <c r="P708" s="2"/>
    </row>
    <row r="709" spans="1:16" x14ac:dyDescent="0.25">
      <c r="A709" s="2"/>
      <c r="B709" s="2"/>
      <c r="F709" s="1"/>
      <c r="G709" s="1"/>
      <c r="I709" s="1"/>
      <c r="J709" s="1"/>
      <c r="L709" s="1"/>
      <c r="M709" s="1"/>
      <c r="O709" s="2"/>
      <c r="P709" s="2"/>
    </row>
    <row r="710" spans="1:16" x14ac:dyDescent="0.25">
      <c r="A710" s="2"/>
      <c r="B710" s="2"/>
      <c r="F710" s="1"/>
      <c r="G710" s="1"/>
      <c r="I710" s="1"/>
      <c r="J710" s="1"/>
      <c r="L710" s="1"/>
      <c r="M710" s="1"/>
      <c r="O710" s="2"/>
      <c r="P710" s="2"/>
    </row>
    <row r="711" spans="1:16" x14ac:dyDescent="0.25">
      <c r="A711" s="2"/>
      <c r="B711" s="2"/>
      <c r="F711" s="1"/>
      <c r="G711" s="1"/>
      <c r="I711" s="1"/>
      <c r="J711" s="1"/>
      <c r="L711" s="1"/>
      <c r="M711" s="1"/>
      <c r="O711" s="2"/>
      <c r="P711" s="2"/>
    </row>
    <row r="712" spans="1:16" x14ac:dyDescent="0.25">
      <c r="A712" s="2"/>
      <c r="B712" s="2"/>
      <c r="F712" s="1"/>
      <c r="G712" s="1"/>
      <c r="I712" s="1"/>
      <c r="J712" s="1"/>
      <c r="L712" s="1"/>
      <c r="M712" s="1"/>
      <c r="O712" s="2"/>
      <c r="P712" s="2"/>
    </row>
    <row r="713" spans="1:16" x14ac:dyDescent="0.25">
      <c r="A713" s="2"/>
      <c r="B713" s="2"/>
      <c r="F713" s="1"/>
      <c r="G713" s="1"/>
      <c r="I713" s="1"/>
      <c r="J713" s="1"/>
      <c r="L713" s="1"/>
      <c r="M713" s="1"/>
      <c r="O713" s="2"/>
      <c r="P713" s="2"/>
    </row>
    <row r="714" spans="1:16" x14ac:dyDescent="0.25">
      <c r="A714" s="2"/>
      <c r="B714" s="2"/>
      <c r="F714" s="1"/>
      <c r="G714" s="1"/>
      <c r="I714" s="1"/>
      <c r="J714" s="1"/>
      <c r="L714" s="1"/>
      <c r="M714" s="1"/>
      <c r="O714" s="2"/>
      <c r="P714" s="2"/>
    </row>
    <row r="715" spans="1:16" x14ac:dyDescent="0.25">
      <c r="A715" s="2"/>
      <c r="B715" s="2"/>
      <c r="F715" s="1"/>
      <c r="G715" s="1"/>
      <c r="I715" s="1"/>
      <c r="J715" s="1"/>
      <c r="L715" s="1"/>
      <c r="M715" s="1"/>
      <c r="O715" s="2"/>
      <c r="P715" s="2"/>
    </row>
    <row r="716" spans="1:16" x14ac:dyDescent="0.25">
      <c r="A716" s="2"/>
      <c r="B716" s="2"/>
      <c r="F716" s="1"/>
      <c r="G716" s="1"/>
      <c r="I716" s="1"/>
      <c r="J716" s="1"/>
      <c r="L716" s="1"/>
      <c r="M716" s="1"/>
      <c r="O716" s="2"/>
      <c r="P716" s="2"/>
    </row>
    <row r="717" spans="1:16" x14ac:dyDescent="0.25">
      <c r="A717" s="2"/>
      <c r="B717" s="2"/>
      <c r="F717" s="1"/>
      <c r="G717" s="1"/>
      <c r="I717" s="1"/>
      <c r="J717" s="1"/>
      <c r="L717" s="1"/>
      <c r="M717" s="1"/>
      <c r="O717" s="2"/>
      <c r="P717" s="2"/>
    </row>
    <row r="718" spans="1:16" x14ac:dyDescent="0.25">
      <c r="A718" s="2"/>
      <c r="B718" s="2"/>
      <c r="F718" s="1"/>
      <c r="G718" s="1"/>
      <c r="I718" s="1"/>
      <c r="J718" s="1"/>
      <c r="L718" s="1"/>
      <c r="M718" s="1"/>
      <c r="O718" s="2"/>
      <c r="P718" s="2"/>
    </row>
    <row r="719" spans="1:16" x14ac:dyDescent="0.25">
      <c r="A719" s="2"/>
      <c r="B719" s="2"/>
      <c r="F719" s="1"/>
      <c r="G719" s="1"/>
      <c r="I719" s="1"/>
      <c r="J719" s="1"/>
      <c r="L719" s="1"/>
      <c r="M719" s="1"/>
      <c r="O719" s="2"/>
      <c r="P719" s="2"/>
    </row>
    <row r="720" spans="1:16" x14ac:dyDescent="0.25">
      <c r="A720" s="2"/>
      <c r="B720" s="2"/>
      <c r="F720" s="1"/>
      <c r="G720" s="1"/>
      <c r="I720" s="1"/>
      <c r="J720" s="1"/>
      <c r="L720" s="1"/>
      <c r="M720" s="1"/>
      <c r="O720" s="2"/>
      <c r="P720" s="2"/>
    </row>
    <row r="721" spans="1:16" x14ac:dyDescent="0.25">
      <c r="A721" s="2"/>
      <c r="B721" s="2"/>
      <c r="F721" s="1"/>
      <c r="G721" s="1"/>
      <c r="I721" s="1"/>
      <c r="J721" s="1"/>
      <c r="L721" s="1"/>
      <c r="M721" s="1"/>
      <c r="O721" s="2"/>
      <c r="P721" s="2"/>
    </row>
    <row r="722" spans="1:16" x14ac:dyDescent="0.25">
      <c r="A722" s="2"/>
      <c r="B722" s="2"/>
      <c r="F722" s="1"/>
      <c r="G722" s="1"/>
      <c r="I722" s="1"/>
      <c r="J722" s="1"/>
      <c r="L722" s="1"/>
      <c r="M722" s="1"/>
      <c r="O722" s="2"/>
      <c r="P722" s="2"/>
    </row>
    <row r="723" spans="1:16" x14ac:dyDescent="0.25">
      <c r="A723" s="2"/>
      <c r="B723" s="2"/>
      <c r="F723" s="1"/>
      <c r="G723" s="1"/>
      <c r="I723" s="1"/>
      <c r="J723" s="1"/>
      <c r="L723" s="1"/>
      <c r="M723" s="1"/>
      <c r="O723" s="2"/>
      <c r="P723" s="2"/>
    </row>
    <row r="724" spans="1:16" x14ac:dyDescent="0.25">
      <c r="A724" s="2"/>
      <c r="B724" s="2"/>
      <c r="F724" s="1"/>
      <c r="G724" s="1"/>
      <c r="I724" s="1"/>
      <c r="J724" s="1"/>
      <c r="L724" s="1"/>
      <c r="M724" s="1"/>
      <c r="O724" s="2"/>
      <c r="P724" s="2"/>
    </row>
    <row r="725" spans="1:16" x14ac:dyDescent="0.25">
      <c r="A725" s="2"/>
      <c r="B725" s="2"/>
      <c r="F725" s="1"/>
      <c r="G725" s="1"/>
      <c r="I725" s="1"/>
      <c r="J725" s="1"/>
      <c r="L725" s="1"/>
      <c r="M725" s="1"/>
      <c r="O725" s="2"/>
      <c r="P725" s="2"/>
    </row>
    <row r="726" spans="1:16" x14ac:dyDescent="0.25">
      <c r="A726" s="2"/>
      <c r="B726" s="2"/>
      <c r="F726" s="1"/>
      <c r="G726" s="1"/>
      <c r="I726" s="1"/>
      <c r="J726" s="1"/>
      <c r="L726" s="1"/>
      <c r="M726" s="1"/>
      <c r="O726" s="2"/>
      <c r="P726" s="2"/>
    </row>
    <row r="727" spans="1:16" x14ac:dyDescent="0.25">
      <c r="A727" s="2"/>
      <c r="B727" s="2"/>
      <c r="F727" s="1"/>
      <c r="G727" s="1"/>
      <c r="I727" s="1"/>
      <c r="J727" s="1"/>
      <c r="L727" s="1"/>
      <c r="M727" s="1"/>
      <c r="O727" s="2"/>
      <c r="P727" s="2"/>
    </row>
    <row r="728" spans="1:16" x14ac:dyDescent="0.25">
      <c r="A728" s="2"/>
      <c r="B728" s="2"/>
      <c r="F728" s="1"/>
      <c r="G728" s="1"/>
      <c r="I728" s="1"/>
      <c r="J728" s="1"/>
      <c r="L728" s="1"/>
      <c r="M728" s="1"/>
      <c r="O728" s="2"/>
      <c r="P728" s="2"/>
    </row>
    <row r="729" spans="1:16" x14ac:dyDescent="0.25">
      <c r="A729" s="2"/>
      <c r="B729" s="2"/>
      <c r="F729" s="1"/>
      <c r="G729" s="1"/>
      <c r="I729" s="1"/>
      <c r="J729" s="1"/>
      <c r="L729" s="1"/>
      <c r="M729" s="1"/>
      <c r="O729" s="2"/>
      <c r="P729" s="2"/>
    </row>
    <row r="730" spans="1:16" x14ac:dyDescent="0.25">
      <c r="A730" s="2"/>
      <c r="B730" s="2"/>
      <c r="F730" s="1"/>
      <c r="G730" s="1"/>
      <c r="I730" s="1"/>
      <c r="J730" s="1"/>
      <c r="L730" s="1"/>
      <c r="M730" s="1"/>
      <c r="O730" s="2"/>
      <c r="P730" s="2"/>
    </row>
    <row r="731" spans="1:16" x14ac:dyDescent="0.25">
      <c r="A731" s="2"/>
      <c r="B731" s="2"/>
      <c r="F731" s="1"/>
      <c r="G731" s="1"/>
      <c r="I731" s="1"/>
      <c r="J731" s="1"/>
      <c r="L731" s="1"/>
      <c r="M731" s="1"/>
      <c r="O731" s="2"/>
      <c r="P731" s="2"/>
    </row>
    <row r="732" spans="1:16" x14ac:dyDescent="0.25">
      <c r="A732" s="2"/>
      <c r="B732" s="2"/>
      <c r="F732" s="1"/>
      <c r="G732" s="1"/>
      <c r="I732" s="1"/>
      <c r="J732" s="1"/>
      <c r="L732" s="1"/>
      <c r="M732" s="1"/>
      <c r="O732" s="2"/>
      <c r="P732" s="2"/>
    </row>
    <row r="733" spans="1:16" x14ac:dyDescent="0.25">
      <c r="A733" s="2"/>
      <c r="B733" s="2"/>
      <c r="F733" s="1"/>
      <c r="G733" s="1"/>
      <c r="I733" s="1"/>
      <c r="J733" s="1"/>
      <c r="L733" s="1"/>
      <c r="M733" s="1"/>
      <c r="O733" s="2"/>
      <c r="P733" s="2"/>
    </row>
    <row r="734" spans="1:16" x14ac:dyDescent="0.25">
      <c r="A734" s="2"/>
      <c r="B734" s="2"/>
      <c r="F734" s="1"/>
      <c r="G734" s="1"/>
      <c r="I734" s="1"/>
      <c r="J734" s="1"/>
      <c r="L734" s="1"/>
      <c r="M734" s="1"/>
      <c r="O734" s="2"/>
      <c r="P734" s="2"/>
    </row>
    <row r="735" spans="1:16" x14ac:dyDescent="0.25">
      <c r="A735" s="2"/>
      <c r="B735" s="2"/>
      <c r="F735" s="1"/>
      <c r="G735" s="1"/>
      <c r="I735" s="1"/>
      <c r="J735" s="1"/>
      <c r="L735" s="1"/>
      <c r="M735" s="1"/>
      <c r="O735" s="2"/>
      <c r="P735" s="2"/>
    </row>
    <row r="736" spans="1:16" x14ac:dyDescent="0.25">
      <c r="A736" s="2"/>
      <c r="B736" s="2"/>
      <c r="F736" s="1"/>
      <c r="G736" s="1"/>
      <c r="I736" s="1"/>
      <c r="J736" s="1"/>
      <c r="L736" s="1"/>
      <c r="M736" s="1"/>
      <c r="O736" s="2"/>
      <c r="P736" s="2"/>
    </row>
    <row r="737" spans="1:16" x14ac:dyDescent="0.25">
      <c r="A737" s="2"/>
      <c r="B737" s="2"/>
      <c r="F737" s="1"/>
      <c r="G737" s="1"/>
      <c r="I737" s="1"/>
      <c r="J737" s="1"/>
      <c r="L737" s="1"/>
      <c r="M737" s="1"/>
      <c r="O737" s="2"/>
      <c r="P737" s="2"/>
    </row>
    <row r="738" spans="1:16" x14ac:dyDescent="0.25">
      <c r="A738" s="2"/>
      <c r="B738" s="2"/>
      <c r="F738" s="1"/>
      <c r="G738" s="1"/>
      <c r="I738" s="1"/>
      <c r="J738" s="1"/>
      <c r="L738" s="1"/>
      <c r="M738" s="1"/>
      <c r="O738" s="2"/>
      <c r="P738" s="2"/>
    </row>
    <row r="739" spans="1:16" x14ac:dyDescent="0.25">
      <c r="A739" s="2"/>
      <c r="B739" s="2"/>
      <c r="F739" s="1"/>
      <c r="G739" s="1"/>
      <c r="I739" s="1"/>
      <c r="J739" s="1"/>
      <c r="L739" s="1"/>
      <c r="M739" s="1"/>
      <c r="O739" s="2"/>
      <c r="P739" s="2"/>
    </row>
    <row r="740" spans="1:16" x14ac:dyDescent="0.25">
      <c r="A740" s="2"/>
      <c r="B740" s="2"/>
      <c r="F740" s="1"/>
      <c r="G740" s="1"/>
      <c r="I740" s="1"/>
      <c r="J740" s="1"/>
      <c r="L740" s="1"/>
      <c r="M740" s="1"/>
      <c r="O740" s="2"/>
      <c r="P740" s="2"/>
    </row>
    <row r="741" spans="1:16" x14ac:dyDescent="0.25">
      <c r="A741" s="2"/>
      <c r="B741" s="2"/>
      <c r="F741" s="1"/>
      <c r="G741" s="1"/>
      <c r="I741" s="1"/>
      <c r="J741" s="1"/>
      <c r="L741" s="1"/>
      <c r="M741" s="1"/>
      <c r="O741" s="2"/>
      <c r="P741" s="2"/>
    </row>
    <row r="742" spans="1:16" x14ac:dyDescent="0.25">
      <c r="A742" s="2"/>
      <c r="B742" s="2"/>
      <c r="F742" s="1"/>
      <c r="G742" s="1"/>
      <c r="I742" s="1"/>
      <c r="J742" s="1"/>
      <c r="L742" s="1"/>
      <c r="M742" s="1"/>
      <c r="O742" s="2"/>
      <c r="P742" s="2"/>
    </row>
    <row r="743" spans="1:16" x14ac:dyDescent="0.25">
      <c r="A743" s="2"/>
      <c r="B743" s="2"/>
      <c r="F743" s="1"/>
      <c r="G743" s="1"/>
      <c r="I743" s="1"/>
      <c r="J743" s="1"/>
      <c r="L743" s="1"/>
      <c r="M743" s="1"/>
      <c r="O743" s="2"/>
      <c r="P743" s="2"/>
    </row>
    <row r="744" spans="1:16" x14ac:dyDescent="0.25">
      <c r="A744" s="2"/>
      <c r="B744" s="2"/>
      <c r="F744" s="1"/>
      <c r="G744" s="1"/>
      <c r="I744" s="1"/>
      <c r="J744" s="1"/>
      <c r="L744" s="1"/>
      <c r="M744" s="1"/>
      <c r="O744" s="2"/>
      <c r="P744" s="2"/>
    </row>
    <row r="745" spans="1:16" x14ac:dyDescent="0.25">
      <c r="A745" s="2"/>
      <c r="B745" s="2"/>
      <c r="F745" s="1"/>
      <c r="G745" s="1"/>
      <c r="I745" s="1"/>
      <c r="J745" s="1"/>
      <c r="L745" s="1"/>
      <c r="M745" s="1"/>
      <c r="O745" s="2"/>
      <c r="P745" s="2"/>
    </row>
    <row r="746" spans="1:16" x14ac:dyDescent="0.25">
      <c r="A746" s="2"/>
      <c r="B746" s="2"/>
      <c r="F746" s="1"/>
      <c r="G746" s="1"/>
      <c r="I746" s="1"/>
      <c r="J746" s="1"/>
      <c r="L746" s="1"/>
      <c r="M746" s="1"/>
      <c r="O746" s="2"/>
      <c r="P746" s="2"/>
    </row>
    <row r="747" spans="1:16" x14ac:dyDescent="0.25">
      <c r="A747" s="2"/>
      <c r="B747" s="2"/>
      <c r="F747" s="1"/>
      <c r="G747" s="1"/>
      <c r="I747" s="1"/>
      <c r="J747" s="1"/>
      <c r="L747" s="1"/>
      <c r="M747" s="1"/>
      <c r="O747" s="2"/>
      <c r="P747" s="2"/>
    </row>
    <row r="748" spans="1:16" x14ac:dyDescent="0.25">
      <c r="A748" s="2"/>
      <c r="B748" s="2"/>
      <c r="F748" s="1"/>
      <c r="G748" s="1"/>
      <c r="I748" s="1"/>
      <c r="J748" s="1"/>
      <c r="L748" s="1"/>
      <c r="M748" s="1"/>
      <c r="O748" s="2"/>
      <c r="P748" s="2"/>
    </row>
    <row r="749" spans="1:16" x14ac:dyDescent="0.25">
      <c r="A749" s="2"/>
      <c r="B749" s="2"/>
      <c r="F749" s="1"/>
      <c r="G749" s="1"/>
      <c r="I749" s="1"/>
      <c r="J749" s="1"/>
      <c r="L749" s="1"/>
      <c r="M749" s="1"/>
      <c r="O749" s="2"/>
      <c r="P749" s="2"/>
    </row>
    <row r="750" spans="1:16" x14ac:dyDescent="0.25">
      <c r="A750" s="2"/>
      <c r="B750" s="2"/>
      <c r="F750" s="1"/>
      <c r="G750" s="1"/>
      <c r="I750" s="1"/>
      <c r="J750" s="1"/>
      <c r="L750" s="1"/>
      <c r="M750" s="1"/>
      <c r="O750" s="2"/>
      <c r="P750" s="2"/>
    </row>
    <row r="751" spans="1:16" x14ac:dyDescent="0.25">
      <c r="A751" s="2"/>
      <c r="B751" s="2"/>
      <c r="F751" s="1"/>
      <c r="G751" s="1"/>
      <c r="I751" s="1"/>
      <c r="J751" s="1"/>
      <c r="L751" s="1"/>
      <c r="M751" s="1"/>
      <c r="O751" s="2"/>
      <c r="P751" s="2"/>
    </row>
    <row r="752" spans="1:16" x14ac:dyDescent="0.25">
      <c r="A752" s="2"/>
      <c r="B752" s="2"/>
      <c r="F752" s="1"/>
      <c r="G752" s="1"/>
      <c r="I752" s="1"/>
      <c r="J752" s="1"/>
      <c r="L752" s="1"/>
      <c r="M752" s="1"/>
      <c r="O752" s="2"/>
      <c r="P752" s="2"/>
    </row>
    <row r="753" spans="1:16" x14ac:dyDescent="0.25">
      <c r="A753" s="2"/>
      <c r="B753" s="2"/>
      <c r="F753" s="1"/>
      <c r="G753" s="1"/>
      <c r="I753" s="1"/>
      <c r="J753" s="1"/>
      <c r="L753" s="1"/>
      <c r="M753" s="1"/>
      <c r="O753" s="2"/>
      <c r="P753" s="2"/>
    </row>
    <row r="754" spans="1:16" x14ac:dyDescent="0.25">
      <c r="A754" s="2"/>
      <c r="B754" s="2"/>
      <c r="F754" s="1"/>
      <c r="G754" s="1"/>
      <c r="I754" s="1"/>
      <c r="J754" s="1"/>
      <c r="L754" s="1"/>
      <c r="M754" s="1"/>
      <c r="O754" s="2"/>
      <c r="P754" s="2"/>
    </row>
    <row r="755" spans="1:16" x14ac:dyDescent="0.25">
      <c r="A755" s="2"/>
      <c r="B755" s="2"/>
      <c r="F755" s="1"/>
      <c r="G755" s="1"/>
      <c r="I755" s="1"/>
      <c r="J755" s="1"/>
      <c r="L755" s="1"/>
      <c r="M755" s="1"/>
      <c r="O755" s="2"/>
      <c r="P755" s="2"/>
    </row>
    <row r="756" spans="1:16" x14ac:dyDescent="0.25">
      <c r="A756" s="2"/>
      <c r="B756" s="2"/>
      <c r="F756" s="1"/>
      <c r="G756" s="1"/>
      <c r="I756" s="1"/>
      <c r="J756" s="1"/>
      <c r="L756" s="1"/>
      <c r="M756" s="1"/>
      <c r="O756" s="2"/>
      <c r="P756" s="2"/>
    </row>
    <row r="757" spans="1:16" x14ac:dyDescent="0.25">
      <c r="A757" s="2"/>
      <c r="B757" s="2"/>
      <c r="F757" s="1"/>
      <c r="G757" s="1"/>
      <c r="I757" s="1"/>
      <c r="J757" s="1"/>
      <c r="L757" s="1"/>
      <c r="M757" s="1"/>
      <c r="O757" s="2"/>
      <c r="P757" s="2"/>
    </row>
    <row r="758" spans="1:16" x14ac:dyDescent="0.25">
      <c r="A758" s="2"/>
      <c r="B758" s="2"/>
      <c r="F758" s="1"/>
      <c r="G758" s="1"/>
      <c r="I758" s="1"/>
      <c r="J758" s="1"/>
      <c r="L758" s="1"/>
      <c r="M758" s="1"/>
      <c r="O758" s="2"/>
      <c r="P758" s="2"/>
    </row>
    <row r="759" spans="1:16" x14ac:dyDescent="0.25">
      <c r="A759" s="2"/>
      <c r="B759" s="2"/>
      <c r="F759" s="1"/>
      <c r="G759" s="1"/>
      <c r="I759" s="1"/>
      <c r="J759" s="1"/>
      <c r="L759" s="1"/>
      <c r="M759" s="1"/>
      <c r="O759" s="2"/>
      <c r="P759" s="2"/>
    </row>
    <row r="760" spans="1:16" x14ac:dyDescent="0.25">
      <c r="A760" s="2"/>
      <c r="B760" s="2"/>
      <c r="F760" s="1"/>
      <c r="G760" s="1"/>
      <c r="I760" s="1"/>
      <c r="J760" s="1"/>
      <c r="L760" s="1"/>
      <c r="M760" s="1"/>
      <c r="O760" s="2"/>
      <c r="P760" s="2"/>
    </row>
    <row r="761" spans="1:16" x14ac:dyDescent="0.25">
      <c r="A761" s="2"/>
      <c r="B761" s="2"/>
      <c r="F761" s="1"/>
      <c r="G761" s="1"/>
      <c r="I761" s="1"/>
      <c r="J761" s="1"/>
      <c r="L761" s="1"/>
      <c r="M761" s="1"/>
      <c r="O761" s="2"/>
      <c r="P761" s="2"/>
    </row>
    <row r="762" spans="1:16" x14ac:dyDescent="0.25">
      <c r="A762" s="2"/>
      <c r="B762" s="2"/>
      <c r="F762" s="1"/>
      <c r="G762" s="1"/>
      <c r="I762" s="1"/>
      <c r="J762" s="1"/>
      <c r="L762" s="1"/>
      <c r="M762" s="1"/>
      <c r="O762" s="2"/>
      <c r="P762" s="2"/>
    </row>
    <row r="763" spans="1:16" x14ac:dyDescent="0.25">
      <c r="A763" s="2"/>
      <c r="B763" s="2"/>
      <c r="F763" s="1"/>
      <c r="G763" s="1"/>
      <c r="I763" s="1"/>
      <c r="J763" s="1"/>
      <c r="L763" s="1"/>
      <c r="M763" s="1"/>
      <c r="O763" s="2"/>
      <c r="P763" s="2"/>
    </row>
    <row r="764" spans="1:16" x14ac:dyDescent="0.25">
      <c r="A764" s="2"/>
      <c r="B764" s="2"/>
      <c r="F764" s="1"/>
      <c r="G764" s="1"/>
      <c r="I764" s="1"/>
      <c r="J764" s="1"/>
      <c r="L764" s="1"/>
      <c r="M764" s="1"/>
      <c r="O764" s="2"/>
      <c r="P764" s="2"/>
    </row>
    <row r="765" spans="1:16" x14ac:dyDescent="0.25">
      <c r="A765" s="2"/>
      <c r="B765" s="2"/>
      <c r="F765" s="1"/>
      <c r="G765" s="1"/>
      <c r="I765" s="1"/>
      <c r="J765" s="1"/>
      <c r="L765" s="1"/>
      <c r="M765" s="1"/>
      <c r="O765" s="2"/>
      <c r="P765" s="2"/>
    </row>
    <row r="766" spans="1:16" x14ac:dyDescent="0.25">
      <c r="A766" s="2"/>
      <c r="B766" s="2"/>
      <c r="F766" s="1"/>
      <c r="G766" s="1"/>
      <c r="I766" s="1"/>
      <c r="J766" s="1"/>
      <c r="L766" s="1"/>
      <c r="M766" s="1"/>
      <c r="O766" s="2"/>
      <c r="P766" s="2"/>
    </row>
    <row r="767" spans="1:16" x14ac:dyDescent="0.25">
      <c r="A767" s="2"/>
      <c r="B767" s="2"/>
      <c r="F767" s="1"/>
      <c r="G767" s="1"/>
      <c r="I767" s="1"/>
      <c r="J767" s="1"/>
      <c r="L767" s="1"/>
      <c r="M767" s="1"/>
      <c r="O767" s="2"/>
      <c r="P767" s="2"/>
    </row>
    <row r="768" spans="1:16" x14ac:dyDescent="0.25">
      <c r="A768" s="2"/>
      <c r="B768" s="2"/>
      <c r="F768" s="1"/>
      <c r="G768" s="1"/>
      <c r="I768" s="1"/>
      <c r="J768" s="1"/>
      <c r="L768" s="1"/>
      <c r="M768" s="1"/>
      <c r="O768" s="2"/>
      <c r="P768" s="2"/>
    </row>
    <row r="769" spans="1:16" x14ac:dyDescent="0.25">
      <c r="A769" s="2"/>
      <c r="B769" s="2"/>
      <c r="F769" s="1"/>
      <c r="G769" s="1"/>
      <c r="I769" s="1"/>
      <c r="J769" s="1"/>
      <c r="L769" s="1"/>
      <c r="M769" s="1"/>
      <c r="O769" s="2"/>
      <c r="P769" s="2"/>
    </row>
    <row r="770" spans="1:16" x14ac:dyDescent="0.25">
      <c r="A770" s="2"/>
      <c r="B770" s="2"/>
      <c r="F770" s="1"/>
      <c r="G770" s="1"/>
      <c r="I770" s="1"/>
      <c r="J770" s="1"/>
      <c r="L770" s="1"/>
      <c r="M770" s="1"/>
      <c r="O770" s="2"/>
      <c r="P770" s="2"/>
    </row>
    <row r="771" spans="1:16" x14ac:dyDescent="0.25">
      <c r="A771" s="2"/>
      <c r="B771" s="2"/>
      <c r="F771" s="1"/>
      <c r="G771" s="1"/>
      <c r="I771" s="1"/>
      <c r="J771" s="1"/>
      <c r="L771" s="1"/>
      <c r="M771" s="1"/>
      <c r="O771" s="2"/>
      <c r="P771" s="2"/>
    </row>
    <row r="772" spans="1:16" x14ac:dyDescent="0.25">
      <c r="A772" s="2"/>
      <c r="B772" s="2"/>
      <c r="F772" s="1"/>
      <c r="G772" s="1"/>
      <c r="I772" s="1"/>
      <c r="J772" s="1"/>
      <c r="L772" s="1"/>
      <c r="M772" s="1"/>
      <c r="O772" s="2"/>
      <c r="P772" s="2"/>
    </row>
    <row r="773" spans="1:16" x14ac:dyDescent="0.25">
      <c r="A773" s="2"/>
      <c r="B773" s="2"/>
      <c r="F773" s="1"/>
      <c r="G773" s="1"/>
      <c r="I773" s="1"/>
      <c r="J773" s="1"/>
      <c r="L773" s="1"/>
      <c r="M773" s="1"/>
      <c r="O773" s="2"/>
      <c r="P773" s="2"/>
    </row>
    <row r="774" spans="1:16" x14ac:dyDescent="0.25">
      <c r="A774" s="2"/>
      <c r="B774" s="2"/>
      <c r="F774" s="1"/>
      <c r="G774" s="1"/>
      <c r="I774" s="1"/>
      <c r="J774" s="1"/>
      <c r="L774" s="1"/>
      <c r="M774" s="1"/>
      <c r="O774" s="2"/>
      <c r="P774" s="2"/>
    </row>
    <row r="775" spans="1:16" x14ac:dyDescent="0.25">
      <c r="A775" s="2"/>
      <c r="B775" s="2"/>
      <c r="F775" s="1"/>
      <c r="G775" s="1"/>
      <c r="I775" s="1"/>
      <c r="J775" s="1"/>
      <c r="L775" s="1"/>
      <c r="M775" s="1"/>
      <c r="O775" s="2"/>
      <c r="P775" s="2"/>
    </row>
    <row r="776" spans="1:16" x14ac:dyDescent="0.25">
      <c r="A776" s="2"/>
      <c r="B776" s="2"/>
      <c r="F776" s="1"/>
      <c r="G776" s="1"/>
      <c r="I776" s="1"/>
      <c r="J776" s="1"/>
      <c r="L776" s="1"/>
      <c r="M776" s="1"/>
      <c r="O776" s="2"/>
      <c r="P776" s="2"/>
    </row>
    <row r="777" spans="1:16" x14ac:dyDescent="0.25">
      <c r="A777" s="2"/>
      <c r="B777" s="2"/>
      <c r="F777" s="1"/>
      <c r="G777" s="1"/>
      <c r="I777" s="1"/>
      <c r="J777" s="1"/>
      <c r="L777" s="1"/>
      <c r="M777" s="1"/>
      <c r="O777" s="2"/>
      <c r="P777" s="2"/>
    </row>
    <row r="778" spans="1:16" x14ac:dyDescent="0.25">
      <c r="A778" s="2"/>
      <c r="B778" s="2"/>
      <c r="F778" s="1"/>
      <c r="G778" s="1"/>
      <c r="I778" s="1"/>
      <c r="J778" s="1"/>
      <c r="L778" s="1"/>
      <c r="M778" s="1"/>
      <c r="O778" s="2"/>
      <c r="P778" s="2"/>
    </row>
    <row r="779" spans="1:16" x14ac:dyDescent="0.25">
      <c r="A779" s="2"/>
      <c r="B779" s="2"/>
      <c r="F779" s="1"/>
      <c r="G779" s="1"/>
      <c r="I779" s="1"/>
      <c r="J779" s="1"/>
      <c r="L779" s="1"/>
      <c r="M779" s="1"/>
      <c r="O779" s="2"/>
      <c r="P779" s="2"/>
    </row>
    <row r="780" spans="1:16" x14ac:dyDescent="0.25">
      <c r="A780" s="2"/>
      <c r="B780" s="2"/>
      <c r="F780" s="1"/>
      <c r="G780" s="1"/>
      <c r="I780" s="1"/>
      <c r="J780" s="1"/>
      <c r="L780" s="1"/>
      <c r="M780" s="1"/>
      <c r="O780" s="2"/>
      <c r="P780" s="2"/>
    </row>
    <row r="781" spans="1:16" x14ac:dyDescent="0.25">
      <c r="A781" s="2"/>
      <c r="B781" s="2"/>
      <c r="F781" s="1"/>
      <c r="G781" s="1"/>
      <c r="I781" s="1"/>
      <c r="J781" s="1"/>
      <c r="L781" s="1"/>
      <c r="M781" s="1"/>
      <c r="O781" s="2"/>
      <c r="P781" s="2"/>
    </row>
    <row r="782" spans="1:16" x14ac:dyDescent="0.25">
      <c r="A782" s="2"/>
      <c r="B782" s="2"/>
      <c r="F782" s="1"/>
      <c r="G782" s="1"/>
      <c r="I782" s="1"/>
      <c r="J782" s="1"/>
      <c r="L782" s="1"/>
      <c r="M782" s="1"/>
      <c r="O782" s="2"/>
      <c r="P782" s="2"/>
    </row>
    <row r="783" spans="1:16" x14ac:dyDescent="0.25">
      <c r="A783" s="2"/>
      <c r="B783" s="2"/>
      <c r="F783" s="1"/>
      <c r="G783" s="1"/>
      <c r="I783" s="1"/>
      <c r="J783" s="1"/>
      <c r="L783" s="1"/>
      <c r="M783" s="1"/>
      <c r="O783" s="2"/>
      <c r="P783" s="2"/>
    </row>
    <row r="784" spans="1:16" x14ac:dyDescent="0.25">
      <c r="A784" s="2"/>
      <c r="B784" s="2"/>
      <c r="F784" s="1"/>
      <c r="G784" s="1"/>
      <c r="I784" s="1"/>
      <c r="J784" s="1"/>
      <c r="L784" s="1"/>
      <c r="M784" s="1"/>
      <c r="O784" s="2"/>
      <c r="P784" s="2"/>
    </row>
    <row r="785" spans="1:16" x14ac:dyDescent="0.25">
      <c r="A785" s="2"/>
      <c r="B785" s="2"/>
      <c r="F785" s="1"/>
      <c r="G785" s="1"/>
      <c r="I785" s="1"/>
      <c r="J785" s="1"/>
      <c r="L785" s="1"/>
      <c r="M785" s="1"/>
      <c r="O785" s="2"/>
      <c r="P785" s="2"/>
    </row>
    <row r="786" spans="1:16" x14ac:dyDescent="0.25">
      <c r="A786" s="2"/>
      <c r="B786" s="2"/>
      <c r="F786" s="1"/>
      <c r="G786" s="1"/>
      <c r="I786" s="1"/>
      <c r="J786" s="1"/>
      <c r="L786" s="1"/>
      <c r="M786" s="1"/>
      <c r="O786" s="2"/>
      <c r="P786" s="2"/>
    </row>
    <row r="787" spans="1:16" x14ac:dyDescent="0.25">
      <c r="A787" s="2"/>
      <c r="B787" s="2"/>
      <c r="F787" s="1"/>
      <c r="G787" s="1"/>
      <c r="I787" s="1"/>
      <c r="J787" s="1"/>
      <c r="L787" s="1"/>
      <c r="M787" s="1"/>
      <c r="O787" s="2"/>
      <c r="P787" s="2"/>
    </row>
    <row r="788" spans="1:16" x14ac:dyDescent="0.25">
      <c r="A788" s="2"/>
      <c r="B788" s="2"/>
      <c r="F788" s="1"/>
      <c r="G788" s="1"/>
      <c r="I788" s="1"/>
      <c r="J788" s="1"/>
      <c r="L788" s="1"/>
      <c r="M788" s="1"/>
      <c r="O788" s="2"/>
      <c r="P788" s="2"/>
    </row>
    <row r="789" spans="1:16" x14ac:dyDescent="0.25">
      <c r="A789" s="2"/>
      <c r="B789" s="2"/>
      <c r="F789" s="1"/>
      <c r="G789" s="1"/>
      <c r="I789" s="1"/>
      <c r="J789" s="1"/>
      <c r="L789" s="1"/>
      <c r="M789" s="1"/>
      <c r="O789" s="2"/>
      <c r="P789" s="2"/>
    </row>
    <row r="790" spans="1:16" x14ac:dyDescent="0.25">
      <c r="A790" s="2"/>
      <c r="B790" s="2"/>
      <c r="F790" s="1"/>
      <c r="G790" s="1"/>
      <c r="I790" s="1"/>
      <c r="J790" s="1"/>
      <c r="L790" s="1"/>
      <c r="M790" s="1"/>
      <c r="O790" s="2"/>
      <c r="P790" s="2"/>
    </row>
    <row r="791" spans="1:16" x14ac:dyDescent="0.25">
      <c r="A791" s="2"/>
      <c r="B791" s="2"/>
      <c r="F791" s="1"/>
      <c r="G791" s="1"/>
      <c r="I791" s="1"/>
      <c r="J791" s="1"/>
      <c r="L791" s="1"/>
      <c r="M791" s="1"/>
      <c r="O791" s="2"/>
      <c r="P791" s="2"/>
    </row>
    <row r="792" spans="1:16" x14ac:dyDescent="0.25">
      <c r="A792" s="2"/>
      <c r="B792" s="2"/>
      <c r="F792" s="1"/>
      <c r="G792" s="1"/>
      <c r="I792" s="1"/>
      <c r="J792" s="1"/>
      <c r="L792" s="1"/>
      <c r="M792" s="1"/>
      <c r="O792" s="2"/>
      <c r="P792" s="2"/>
    </row>
    <row r="793" spans="1:16" x14ac:dyDescent="0.25">
      <c r="A793" s="2"/>
      <c r="B793" s="2"/>
      <c r="F793" s="1"/>
      <c r="G793" s="1"/>
      <c r="I793" s="1"/>
      <c r="J793" s="1"/>
      <c r="L793" s="1"/>
      <c r="M793" s="1"/>
      <c r="O793" s="2"/>
      <c r="P793" s="2"/>
    </row>
    <row r="794" spans="1:16" x14ac:dyDescent="0.25">
      <c r="A794" s="2"/>
      <c r="B794" s="2"/>
      <c r="F794" s="1"/>
      <c r="G794" s="1"/>
      <c r="I794" s="1"/>
      <c r="J794" s="1"/>
      <c r="L794" s="1"/>
      <c r="M794" s="1"/>
      <c r="O794" s="2"/>
      <c r="P794" s="2"/>
    </row>
    <row r="795" spans="1:16" x14ac:dyDescent="0.25">
      <c r="A795" s="2"/>
      <c r="B795" s="2"/>
      <c r="F795" s="1"/>
      <c r="G795" s="1"/>
      <c r="I795" s="1"/>
      <c r="J795" s="1"/>
      <c r="L795" s="1"/>
      <c r="M795" s="1"/>
      <c r="O795" s="2"/>
      <c r="P795" s="2"/>
    </row>
    <row r="796" spans="1:16" x14ac:dyDescent="0.25">
      <c r="A796" s="2"/>
      <c r="B796" s="2"/>
      <c r="F796" s="1"/>
      <c r="G796" s="1"/>
      <c r="I796" s="1"/>
      <c r="J796" s="1"/>
      <c r="L796" s="1"/>
      <c r="M796" s="1"/>
      <c r="O796" s="2"/>
      <c r="P796" s="2"/>
    </row>
    <row r="797" spans="1:16" x14ac:dyDescent="0.25">
      <c r="A797" s="2"/>
      <c r="B797" s="2"/>
      <c r="F797" s="1"/>
      <c r="G797" s="1"/>
      <c r="I797" s="1"/>
      <c r="J797" s="1"/>
      <c r="L797" s="1"/>
      <c r="M797" s="1"/>
      <c r="O797" s="2"/>
      <c r="P797" s="2"/>
    </row>
    <row r="798" spans="1:16" x14ac:dyDescent="0.25">
      <c r="A798" s="2"/>
      <c r="B798" s="2"/>
      <c r="F798" s="1"/>
      <c r="G798" s="1"/>
      <c r="I798" s="1"/>
      <c r="J798" s="1"/>
      <c r="L798" s="1"/>
      <c r="M798" s="1"/>
      <c r="O798" s="2"/>
      <c r="P798" s="2"/>
    </row>
    <row r="799" spans="1:16" x14ac:dyDescent="0.25">
      <c r="A799" s="2"/>
      <c r="B799" s="2"/>
      <c r="F799" s="1"/>
      <c r="G799" s="1"/>
      <c r="I799" s="1"/>
      <c r="J799" s="1"/>
      <c r="L799" s="1"/>
      <c r="M799" s="1"/>
      <c r="O799" s="2"/>
      <c r="P799" s="2"/>
    </row>
    <row r="800" spans="1:16" x14ac:dyDescent="0.25">
      <c r="A800" s="2"/>
      <c r="B800" s="2"/>
      <c r="F800" s="1"/>
      <c r="G800" s="1"/>
      <c r="I800" s="1"/>
      <c r="J800" s="1"/>
      <c r="L800" s="1"/>
      <c r="M800" s="1"/>
      <c r="O800" s="2"/>
      <c r="P800" s="2"/>
    </row>
    <row r="801" spans="1:16" x14ac:dyDescent="0.25">
      <c r="A801" s="2"/>
      <c r="B801" s="2"/>
      <c r="F801" s="1"/>
      <c r="G801" s="1"/>
      <c r="I801" s="1"/>
      <c r="J801" s="1"/>
      <c r="L801" s="1"/>
      <c r="M801" s="1"/>
      <c r="O801" s="2"/>
      <c r="P801" s="2"/>
    </row>
    <row r="802" spans="1:16" x14ac:dyDescent="0.25">
      <c r="A802" s="2"/>
      <c r="B802" s="2"/>
      <c r="F802" s="1"/>
      <c r="G802" s="1"/>
      <c r="I802" s="1"/>
      <c r="J802" s="1"/>
      <c r="L802" s="1"/>
      <c r="M802" s="1"/>
      <c r="O802" s="2"/>
      <c r="P802" s="2"/>
    </row>
    <row r="803" spans="1:16" x14ac:dyDescent="0.25">
      <c r="A803" s="2"/>
      <c r="B803" s="2"/>
      <c r="F803" s="1"/>
      <c r="G803" s="1"/>
      <c r="I803" s="1"/>
      <c r="J803" s="1"/>
      <c r="L803" s="1"/>
      <c r="M803" s="1"/>
      <c r="O803" s="2"/>
      <c r="P803" s="2"/>
    </row>
    <row r="804" spans="1:16" x14ac:dyDescent="0.25">
      <c r="A804" s="2"/>
      <c r="B804" s="2"/>
      <c r="F804" s="1"/>
      <c r="G804" s="1"/>
      <c r="I804" s="1"/>
      <c r="J804" s="1"/>
      <c r="L804" s="1"/>
      <c r="M804" s="1"/>
      <c r="O804" s="2"/>
      <c r="P804" s="2"/>
    </row>
    <row r="805" spans="1:16" x14ac:dyDescent="0.25">
      <c r="A805" s="2"/>
      <c r="B805" s="2"/>
      <c r="F805" s="1"/>
      <c r="G805" s="1"/>
      <c r="I805" s="1"/>
      <c r="J805" s="1"/>
      <c r="L805" s="1"/>
      <c r="M805" s="1"/>
      <c r="O805" s="2"/>
      <c r="P805" s="2"/>
    </row>
    <row r="806" spans="1:16" x14ac:dyDescent="0.25">
      <c r="A806" s="2"/>
      <c r="B806" s="2"/>
      <c r="F806" s="1"/>
      <c r="G806" s="1"/>
      <c r="I806" s="1"/>
      <c r="J806" s="1"/>
      <c r="L806" s="1"/>
      <c r="M806" s="1"/>
      <c r="O806" s="2"/>
      <c r="P806" s="2"/>
    </row>
    <row r="807" spans="1:16" x14ac:dyDescent="0.25">
      <c r="A807" s="2"/>
      <c r="B807" s="2"/>
      <c r="F807" s="1"/>
      <c r="G807" s="1"/>
      <c r="I807" s="1"/>
      <c r="J807" s="1"/>
      <c r="L807" s="1"/>
      <c r="M807" s="1"/>
      <c r="O807" s="2"/>
      <c r="P807" s="2"/>
    </row>
    <row r="808" spans="1:16" x14ac:dyDescent="0.25">
      <c r="A808" s="2"/>
      <c r="B808" s="2"/>
      <c r="F808" s="1"/>
      <c r="G808" s="1"/>
      <c r="I808" s="1"/>
      <c r="J808" s="1"/>
      <c r="L808" s="1"/>
      <c r="M808" s="1"/>
      <c r="O808" s="2"/>
      <c r="P808" s="2"/>
    </row>
    <row r="809" spans="1:16" x14ac:dyDescent="0.25">
      <c r="A809" s="2"/>
      <c r="B809" s="2"/>
      <c r="F809" s="1"/>
      <c r="G809" s="1"/>
      <c r="I809" s="1"/>
      <c r="J809" s="1"/>
      <c r="L809" s="1"/>
      <c r="M809" s="1"/>
      <c r="O809" s="2"/>
      <c r="P809" s="2"/>
    </row>
    <row r="810" spans="1:16" x14ac:dyDescent="0.25">
      <c r="A810" s="2"/>
      <c r="B810" s="2"/>
      <c r="F810" s="1"/>
      <c r="G810" s="1"/>
      <c r="I810" s="1"/>
      <c r="J810" s="1"/>
      <c r="L810" s="1"/>
      <c r="M810" s="1"/>
      <c r="O810" s="2"/>
      <c r="P810" s="2"/>
    </row>
    <row r="811" spans="1:16" x14ac:dyDescent="0.25">
      <c r="A811" s="2"/>
      <c r="B811" s="2"/>
      <c r="F811" s="1"/>
      <c r="G811" s="1"/>
      <c r="I811" s="1"/>
      <c r="J811" s="1"/>
      <c r="L811" s="1"/>
      <c r="M811" s="1"/>
      <c r="O811" s="2"/>
      <c r="P811" s="2"/>
    </row>
    <row r="812" spans="1:16" x14ac:dyDescent="0.25">
      <c r="A812" s="2"/>
      <c r="B812" s="2"/>
      <c r="F812" s="1"/>
      <c r="G812" s="1"/>
      <c r="I812" s="1"/>
      <c r="J812" s="1"/>
      <c r="L812" s="1"/>
      <c r="M812" s="1"/>
      <c r="O812" s="2"/>
      <c r="P812" s="2"/>
    </row>
    <row r="813" spans="1:16" x14ac:dyDescent="0.25">
      <c r="A813" s="2"/>
      <c r="B813" s="2"/>
      <c r="F813" s="1"/>
      <c r="G813" s="1"/>
      <c r="I813" s="1"/>
      <c r="J813" s="1"/>
      <c r="L813" s="1"/>
      <c r="M813" s="1"/>
      <c r="O813" s="2"/>
      <c r="P813" s="2"/>
    </row>
    <row r="814" spans="1:16" x14ac:dyDescent="0.25">
      <c r="A814" s="2"/>
      <c r="B814" s="2"/>
      <c r="F814" s="1"/>
      <c r="G814" s="1"/>
      <c r="I814" s="1"/>
      <c r="J814" s="1"/>
      <c r="L814" s="1"/>
      <c r="M814" s="1"/>
      <c r="O814" s="2"/>
      <c r="P814" s="2"/>
    </row>
    <row r="815" spans="1:16" x14ac:dyDescent="0.25">
      <c r="A815" s="2"/>
      <c r="B815" s="2"/>
      <c r="F815" s="1"/>
      <c r="G815" s="1"/>
      <c r="I815" s="1"/>
      <c r="J815" s="1"/>
      <c r="L815" s="1"/>
      <c r="M815" s="1"/>
      <c r="O815" s="2"/>
      <c r="P815" s="2"/>
    </row>
    <row r="816" spans="1:16" x14ac:dyDescent="0.25">
      <c r="A816" s="2"/>
      <c r="B816" s="2"/>
      <c r="F816" s="1"/>
      <c r="G816" s="1"/>
      <c r="I816" s="1"/>
      <c r="J816" s="1"/>
      <c r="L816" s="1"/>
      <c r="M816" s="1"/>
      <c r="O816" s="2"/>
      <c r="P816" s="2"/>
    </row>
    <row r="817" spans="1:16" x14ac:dyDescent="0.25">
      <c r="A817" s="2"/>
      <c r="B817" s="2"/>
      <c r="F817" s="1"/>
      <c r="G817" s="1"/>
      <c r="I817" s="1"/>
      <c r="J817" s="1"/>
      <c r="L817" s="1"/>
      <c r="M817" s="1"/>
      <c r="O817" s="2"/>
      <c r="P817" s="2"/>
    </row>
    <row r="818" spans="1:16" x14ac:dyDescent="0.25">
      <c r="A818" s="2"/>
      <c r="B818" s="2"/>
      <c r="F818" s="1"/>
      <c r="G818" s="1"/>
      <c r="I818" s="1"/>
      <c r="J818" s="1"/>
      <c r="L818" s="1"/>
      <c r="M818" s="1"/>
      <c r="O818" s="2"/>
      <c r="P818" s="2"/>
    </row>
    <row r="819" spans="1:16" x14ac:dyDescent="0.25">
      <c r="A819" s="2"/>
      <c r="B819" s="2"/>
      <c r="F819" s="1"/>
      <c r="G819" s="1"/>
      <c r="I819" s="1"/>
      <c r="J819" s="1"/>
      <c r="L819" s="1"/>
      <c r="M819" s="1"/>
      <c r="O819" s="2"/>
      <c r="P819" s="2"/>
    </row>
    <row r="820" spans="1:16" x14ac:dyDescent="0.25">
      <c r="A820" s="2"/>
      <c r="B820" s="2"/>
      <c r="F820" s="1"/>
      <c r="G820" s="1"/>
      <c r="I820" s="1"/>
      <c r="J820" s="1"/>
      <c r="L820" s="1"/>
      <c r="M820" s="1"/>
      <c r="O820" s="2"/>
      <c r="P820" s="2"/>
    </row>
    <row r="821" spans="1:16" x14ac:dyDescent="0.25">
      <c r="A821" s="2"/>
      <c r="B821" s="2"/>
      <c r="F821" s="1"/>
      <c r="G821" s="1"/>
      <c r="I821" s="1"/>
      <c r="J821" s="1"/>
      <c r="L821" s="1"/>
      <c r="M821" s="1"/>
      <c r="O821" s="2"/>
      <c r="P821" s="2"/>
    </row>
    <row r="822" spans="1:16" x14ac:dyDescent="0.25">
      <c r="A822" s="2"/>
      <c r="B822" s="2"/>
      <c r="F822" s="1"/>
      <c r="G822" s="1"/>
      <c r="I822" s="1"/>
      <c r="J822" s="1"/>
      <c r="L822" s="1"/>
      <c r="M822" s="1"/>
      <c r="O822" s="2"/>
      <c r="P822" s="2"/>
    </row>
    <row r="823" spans="1:16" x14ac:dyDescent="0.25">
      <c r="A823" s="2"/>
      <c r="B823" s="2"/>
      <c r="F823" s="1"/>
      <c r="G823" s="1"/>
      <c r="I823" s="1"/>
      <c r="J823" s="1"/>
      <c r="L823" s="1"/>
      <c r="M823" s="1"/>
      <c r="O823" s="2"/>
      <c r="P823" s="2"/>
    </row>
    <row r="824" spans="1:16" x14ac:dyDescent="0.25">
      <c r="A824" s="2"/>
      <c r="B824" s="2"/>
      <c r="F824" s="1"/>
      <c r="G824" s="1"/>
      <c r="I824" s="1"/>
      <c r="J824" s="1"/>
      <c r="L824" s="1"/>
      <c r="M824" s="1"/>
      <c r="O824" s="2"/>
      <c r="P824" s="2"/>
    </row>
    <row r="825" spans="1:16" x14ac:dyDescent="0.25">
      <c r="A825" s="2"/>
      <c r="B825" s="2"/>
      <c r="F825" s="1"/>
      <c r="G825" s="1"/>
      <c r="I825" s="1"/>
      <c r="J825" s="1"/>
      <c r="L825" s="1"/>
      <c r="M825" s="1"/>
      <c r="O825" s="2"/>
      <c r="P825" s="2"/>
    </row>
    <row r="826" spans="1:16" x14ac:dyDescent="0.25">
      <c r="A826" s="2"/>
      <c r="B826" s="2"/>
      <c r="F826" s="1"/>
      <c r="G826" s="1"/>
      <c r="I826" s="1"/>
      <c r="J826" s="1"/>
      <c r="L826" s="1"/>
      <c r="M826" s="1"/>
      <c r="O826" s="2"/>
      <c r="P826" s="2"/>
    </row>
    <row r="827" spans="1:16" x14ac:dyDescent="0.25">
      <c r="A827" s="2"/>
      <c r="B827" s="2"/>
      <c r="F827" s="1"/>
      <c r="G827" s="1"/>
      <c r="I827" s="1"/>
      <c r="J827" s="1"/>
      <c r="L827" s="1"/>
      <c r="M827" s="1"/>
      <c r="O827" s="2"/>
      <c r="P827" s="2"/>
    </row>
    <row r="828" spans="1:16" x14ac:dyDescent="0.25">
      <c r="A828" s="2"/>
      <c r="B828" s="2"/>
      <c r="F828" s="1"/>
      <c r="G828" s="1"/>
      <c r="I828" s="1"/>
      <c r="J828" s="1"/>
      <c r="L828" s="1"/>
      <c r="M828" s="1"/>
      <c r="O828" s="2"/>
      <c r="P828" s="2"/>
    </row>
    <row r="829" spans="1:16" x14ac:dyDescent="0.25">
      <c r="A829" s="2"/>
      <c r="B829" s="2"/>
      <c r="F829" s="1"/>
      <c r="G829" s="1"/>
      <c r="I829" s="1"/>
      <c r="J829" s="1"/>
      <c r="L829" s="1"/>
      <c r="M829" s="1"/>
      <c r="O829" s="2"/>
      <c r="P829" s="2"/>
    </row>
    <row r="830" spans="1:16" x14ac:dyDescent="0.25">
      <c r="A830" s="2"/>
      <c r="B830" s="2"/>
      <c r="F830" s="1"/>
      <c r="G830" s="1"/>
      <c r="I830" s="1"/>
      <c r="J830" s="1"/>
      <c r="L830" s="1"/>
      <c r="M830" s="1"/>
      <c r="O830" s="2"/>
      <c r="P830" s="2"/>
    </row>
    <row r="831" spans="1:16" x14ac:dyDescent="0.25">
      <c r="A831" s="2"/>
      <c r="B831" s="2"/>
      <c r="F831" s="1"/>
      <c r="G831" s="1"/>
      <c r="I831" s="1"/>
      <c r="J831" s="1"/>
      <c r="L831" s="1"/>
      <c r="M831" s="1"/>
      <c r="O831" s="2"/>
      <c r="P831" s="2"/>
    </row>
    <row r="832" spans="1:16" x14ac:dyDescent="0.25">
      <c r="A832" s="2"/>
      <c r="B832" s="2"/>
      <c r="F832" s="1"/>
      <c r="G832" s="1"/>
      <c r="I832" s="1"/>
      <c r="J832" s="1"/>
      <c r="L832" s="1"/>
      <c r="M832" s="1"/>
      <c r="O832" s="2"/>
      <c r="P832" s="2"/>
    </row>
    <row r="833" spans="1:16" x14ac:dyDescent="0.25">
      <c r="A833" s="2"/>
      <c r="B833" s="2"/>
      <c r="F833" s="1"/>
      <c r="G833" s="1"/>
      <c r="I833" s="1"/>
      <c r="J833" s="1"/>
      <c r="L833" s="1"/>
      <c r="M833" s="1"/>
      <c r="O833" s="2"/>
      <c r="P833" s="2"/>
    </row>
    <row r="834" spans="1:16" x14ac:dyDescent="0.25">
      <c r="A834" s="2"/>
      <c r="B834" s="2"/>
      <c r="F834" s="1"/>
      <c r="G834" s="1"/>
      <c r="I834" s="1"/>
      <c r="J834" s="1"/>
      <c r="L834" s="1"/>
      <c r="M834" s="1"/>
      <c r="O834" s="2"/>
      <c r="P834" s="2"/>
    </row>
    <row r="835" spans="1:16" x14ac:dyDescent="0.25">
      <c r="A835" s="2"/>
      <c r="B835" s="2"/>
      <c r="F835" s="1"/>
      <c r="G835" s="1"/>
      <c r="I835" s="1"/>
      <c r="J835" s="1"/>
      <c r="L835" s="1"/>
      <c r="M835" s="1"/>
      <c r="O835" s="2"/>
      <c r="P835" s="2"/>
    </row>
    <row r="836" spans="1:16" x14ac:dyDescent="0.25">
      <c r="A836" s="2"/>
      <c r="B836" s="2"/>
      <c r="F836" s="1"/>
      <c r="G836" s="1"/>
      <c r="I836" s="1"/>
      <c r="J836" s="1"/>
      <c r="L836" s="1"/>
      <c r="M836" s="1"/>
      <c r="O836" s="2"/>
      <c r="P836" s="2"/>
    </row>
    <row r="837" spans="1:16" x14ac:dyDescent="0.25">
      <c r="A837" s="2"/>
      <c r="B837" s="2"/>
      <c r="F837" s="1"/>
      <c r="G837" s="1"/>
      <c r="I837" s="1"/>
      <c r="J837" s="1"/>
      <c r="L837" s="1"/>
      <c r="M837" s="1"/>
      <c r="O837" s="2"/>
      <c r="P837" s="2"/>
    </row>
    <row r="838" spans="1:16" x14ac:dyDescent="0.25">
      <c r="A838" s="2"/>
      <c r="B838" s="2"/>
      <c r="F838" s="1"/>
      <c r="G838" s="1"/>
      <c r="I838" s="1"/>
      <c r="J838" s="1"/>
      <c r="L838" s="1"/>
      <c r="M838" s="1"/>
      <c r="O838" s="2"/>
      <c r="P838" s="2"/>
    </row>
    <row r="839" spans="1:16" x14ac:dyDescent="0.25">
      <c r="A839" s="2"/>
      <c r="B839" s="2"/>
      <c r="F839" s="1"/>
      <c r="G839" s="1"/>
      <c r="I839" s="1"/>
      <c r="J839" s="1"/>
      <c r="L839" s="1"/>
      <c r="M839" s="1"/>
      <c r="O839" s="2"/>
      <c r="P839" s="2"/>
    </row>
    <row r="840" spans="1:16" x14ac:dyDescent="0.25">
      <c r="A840" s="2"/>
      <c r="B840" s="2"/>
      <c r="F840" s="1"/>
      <c r="G840" s="1"/>
      <c r="I840" s="1"/>
      <c r="J840" s="1"/>
      <c r="L840" s="1"/>
      <c r="M840" s="1"/>
      <c r="O840" s="2"/>
      <c r="P840" s="2"/>
    </row>
    <row r="841" spans="1:16" x14ac:dyDescent="0.25">
      <c r="A841" s="2"/>
      <c r="B841" s="2"/>
      <c r="F841" s="1"/>
      <c r="G841" s="1"/>
      <c r="I841" s="1"/>
      <c r="J841" s="1"/>
      <c r="L841" s="1"/>
      <c r="M841" s="1"/>
      <c r="O841" s="2"/>
      <c r="P841" s="2"/>
    </row>
    <row r="842" spans="1:16" x14ac:dyDescent="0.25">
      <c r="A842" s="2"/>
      <c r="B842" s="2"/>
      <c r="F842" s="1"/>
      <c r="G842" s="1"/>
      <c r="I842" s="1"/>
      <c r="J842" s="1"/>
      <c r="L842" s="1"/>
      <c r="M842" s="1"/>
      <c r="O842" s="2"/>
      <c r="P842" s="2"/>
    </row>
    <row r="843" spans="1:16" x14ac:dyDescent="0.25">
      <c r="A843" s="2"/>
      <c r="B843" s="2"/>
      <c r="F843" s="1"/>
      <c r="G843" s="1"/>
      <c r="I843" s="1"/>
      <c r="J843" s="1"/>
      <c r="L843" s="1"/>
      <c r="M843" s="1"/>
      <c r="O843" s="2"/>
      <c r="P843" s="2"/>
    </row>
    <row r="844" spans="1:16" x14ac:dyDescent="0.25">
      <c r="A844" s="2"/>
      <c r="B844" s="2"/>
      <c r="F844" s="1"/>
      <c r="G844" s="1"/>
      <c r="I844" s="1"/>
      <c r="J844" s="1"/>
      <c r="L844" s="1"/>
      <c r="M844" s="1"/>
      <c r="O844" s="2"/>
      <c r="P844" s="2"/>
    </row>
    <row r="845" spans="1:16" x14ac:dyDescent="0.25">
      <c r="A845" s="2"/>
      <c r="B845" s="2"/>
      <c r="F845" s="1"/>
      <c r="G845" s="1"/>
      <c r="I845" s="1"/>
      <c r="J845" s="1"/>
      <c r="L845" s="1"/>
      <c r="M845" s="1"/>
      <c r="O845" s="2"/>
      <c r="P845" s="2"/>
    </row>
    <row r="846" spans="1:16" x14ac:dyDescent="0.25">
      <c r="A846" s="2"/>
      <c r="B846" s="2"/>
      <c r="F846" s="1"/>
      <c r="G846" s="1"/>
      <c r="I846" s="1"/>
      <c r="J846" s="1"/>
      <c r="L846" s="1"/>
      <c r="M846" s="1"/>
      <c r="O846" s="2"/>
      <c r="P846" s="2"/>
    </row>
    <row r="847" spans="1:16" x14ac:dyDescent="0.25">
      <c r="A847" s="2"/>
      <c r="B847" s="2"/>
      <c r="F847" s="1"/>
      <c r="G847" s="1"/>
      <c r="I847" s="1"/>
      <c r="J847" s="1"/>
      <c r="L847" s="1"/>
      <c r="M847" s="1"/>
      <c r="O847" s="2"/>
      <c r="P847" s="2"/>
    </row>
    <row r="848" spans="1:16" x14ac:dyDescent="0.25">
      <c r="A848" s="2"/>
      <c r="B848" s="2"/>
      <c r="F848" s="1"/>
      <c r="G848" s="1"/>
      <c r="I848" s="1"/>
      <c r="J848" s="1"/>
      <c r="L848" s="1"/>
      <c r="M848" s="1"/>
      <c r="O848" s="2"/>
      <c r="P848" s="2"/>
    </row>
    <row r="849" spans="1:16" x14ac:dyDescent="0.25">
      <c r="A849" s="2"/>
      <c r="B849" s="2"/>
      <c r="F849" s="1"/>
      <c r="G849" s="1"/>
      <c r="I849" s="1"/>
      <c r="J849" s="1"/>
      <c r="L849" s="1"/>
      <c r="M849" s="1"/>
      <c r="O849" s="2"/>
      <c r="P849" s="2"/>
    </row>
    <row r="850" spans="1:16" x14ac:dyDescent="0.25">
      <c r="A850" s="2"/>
      <c r="B850" s="2"/>
      <c r="F850" s="1"/>
      <c r="G850" s="1"/>
      <c r="I850" s="1"/>
      <c r="J850" s="1"/>
      <c r="L850" s="1"/>
      <c r="M850" s="1"/>
      <c r="O850" s="2"/>
      <c r="P850" s="2"/>
    </row>
    <row r="851" spans="1:16" x14ac:dyDescent="0.25">
      <c r="A851" s="2"/>
      <c r="B851" s="2"/>
      <c r="F851" s="1"/>
      <c r="G851" s="1"/>
      <c r="I851" s="1"/>
      <c r="J851" s="1"/>
      <c r="L851" s="1"/>
      <c r="M851" s="1"/>
      <c r="O851" s="2"/>
      <c r="P851" s="2"/>
    </row>
    <row r="852" spans="1:16" x14ac:dyDescent="0.25">
      <c r="A852" s="2"/>
      <c r="B852" s="2"/>
      <c r="F852" s="1"/>
      <c r="G852" s="1"/>
      <c r="I852" s="1"/>
      <c r="J852" s="1"/>
      <c r="L852" s="1"/>
      <c r="M852" s="1"/>
      <c r="O852" s="2"/>
      <c r="P852" s="2"/>
    </row>
    <row r="853" spans="1:16" x14ac:dyDescent="0.25">
      <c r="A853" s="2"/>
      <c r="B853" s="2"/>
      <c r="F853" s="1"/>
      <c r="G853" s="1"/>
      <c r="I853" s="1"/>
      <c r="J853" s="1"/>
      <c r="L853" s="1"/>
      <c r="M853" s="1"/>
      <c r="O853" s="2"/>
      <c r="P853" s="2"/>
    </row>
    <row r="854" spans="1:16" x14ac:dyDescent="0.25">
      <c r="A854" s="2"/>
      <c r="B854" s="2"/>
      <c r="F854" s="1"/>
      <c r="G854" s="1"/>
      <c r="I854" s="1"/>
      <c r="J854" s="1"/>
      <c r="L854" s="1"/>
      <c r="M854" s="1"/>
      <c r="O854" s="2"/>
      <c r="P854" s="2"/>
    </row>
    <row r="855" spans="1:16" x14ac:dyDescent="0.25">
      <c r="A855" s="2"/>
      <c r="B855" s="2"/>
      <c r="F855" s="1"/>
      <c r="G855" s="1"/>
      <c r="I855" s="1"/>
      <c r="J855" s="1"/>
      <c r="L855" s="1"/>
      <c r="M855" s="1"/>
      <c r="O855" s="2"/>
      <c r="P855" s="2"/>
    </row>
    <row r="856" spans="1:16" x14ac:dyDescent="0.25">
      <c r="A856" s="2"/>
      <c r="B856" s="2"/>
      <c r="F856" s="1"/>
      <c r="G856" s="1"/>
      <c r="I856" s="1"/>
      <c r="J856" s="1"/>
      <c r="L856" s="1"/>
      <c r="M856" s="1"/>
      <c r="O856" s="2"/>
      <c r="P856" s="2"/>
    </row>
    <row r="857" spans="1:16" x14ac:dyDescent="0.25">
      <c r="A857" s="2"/>
      <c r="B857" s="2"/>
      <c r="F857" s="1"/>
      <c r="G857" s="1"/>
      <c r="I857" s="1"/>
      <c r="J857" s="1"/>
      <c r="L857" s="1"/>
      <c r="M857" s="1"/>
      <c r="O857" s="2"/>
      <c r="P857" s="2"/>
    </row>
    <row r="858" spans="1:16" x14ac:dyDescent="0.25">
      <c r="A858" s="2"/>
      <c r="B858" s="2"/>
      <c r="F858" s="1"/>
      <c r="G858" s="1"/>
      <c r="I858" s="1"/>
      <c r="J858" s="1"/>
      <c r="L858" s="1"/>
      <c r="M858" s="1"/>
      <c r="O858" s="2"/>
      <c r="P858" s="2"/>
    </row>
    <row r="859" spans="1:16" x14ac:dyDescent="0.25">
      <c r="A859" s="2"/>
      <c r="B859" s="2"/>
      <c r="F859" s="1"/>
      <c r="G859" s="1"/>
      <c r="I859" s="1"/>
      <c r="J859" s="1"/>
      <c r="L859" s="1"/>
      <c r="M859" s="1"/>
      <c r="O859" s="2"/>
      <c r="P859" s="2"/>
    </row>
    <row r="860" spans="1:16" x14ac:dyDescent="0.25">
      <c r="A860" s="2"/>
      <c r="B860" s="2"/>
      <c r="F860" s="1"/>
      <c r="G860" s="1"/>
      <c r="I860" s="1"/>
      <c r="J860" s="1"/>
      <c r="L860" s="1"/>
      <c r="M860" s="1"/>
      <c r="O860" s="2"/>
      <c r="P860" s="2"/>
    </row>
    <row r="861" spans="1:16" x14ac:dyDescent="0.25">
      <c r="A861" s="2"/>
      <c r="B861" s="2"/>
      <c r="F861" s="1"/>
      <c r="G861" s="1"/>
      <c r="I861" s="1"/>
      <c r="J861" s="1"/>
      <c r="L861" s="1"/>
      <c r="M861" s="1"/>
      <c r="O861" s="2"/>
      <c r="P861" s="2"/>
    </row>
    <row r="862" spans="1:16" x14ac:dyDescent="0.25">
      <c r="A862" s="2"/>
      <c r="B862" s="2"/>
      <c r="F862" s="1"/>
      <c r="G862" s="1"/>
      <c r="I862" s="1"/>
      <c r="J862" s="1"/>
      <c r="L862" s="1"/>
      <c r="M862" s="1"/>
      <c r="O862" s="2"/>
      <c r="P862" s="2"/>
    </row>
    <row r="863" spans="1:16" x14ac:dyDescent="0.25">
      <c r="A863" s="2"/>
      <c r="B863" s="2"/>
      <c r="F863" s="1"/>
      <c r="G863" s="1"/>
      <c r="I863" s="1"/>
      <c r="J863" s="1"/>
      <c r="L863" s="1"/>
      <c r="M863" s="1"/>
      <c r="O863" s="2"/>
      <c r="P863" s="2"/>
    </row>
    <row r="864" spans="1:16" x14ac:dyDescent="0.25">
      <c r="A864" s="2"/>
      <c r="B864" s="2"/>
      <c r="F864" s="1"/>
      <c r="G864" s="1"/>
      <c r="I864" s="1"/>
      <c r="J864" s="1"/>
      <c r="L864" s="1"/>
      <c r="M864" s="1"/>
      <c r="O864" s="2"/>
      <c r="P864" s="2"/>
    </row>
    <row r="865" spans="1:16" x14ac:dyDescent="0.25">
      <c r="A865" s="2"/>
      <c r="B865" s="2"/>
      <c r="F865" s="1"/>
      <c r="G865" s="1"/>
      <c r="I865" s="1"/>
      <c r="J865" s="1"/>
      <c r="L865" s="1"/>
      <c r="M865" s="1"/>
      <c r="O865" s="2"/>
      <c r="P865" s="2"/>
    </row>
    <row r="866" spans="1:16" x14ac:dyDescent="0.25">
      <c r="A866" s="2"/>
      <c r="B866" s="2"/>
      <c r="F866" s="1"/>
      <c r="G866" s="1"/>
      <c r="I866" s="1"/>
      <c r="J866" s="1"/>
      <c r="L866" s="1"/>
      <c r="M866" s="1"/>
      <c r="O866" s="2"/>
      <c r="P866" s="2"/>
    </row>
    <row r="867" spans="1:16" x14ac:dyDescent="0.25">
      <c r="A867" s="2"/>
      <c r="B867" s="2"/>
      <c r="F867" s="1"/>
      <c r="G867" s="1"/>
      <c r="I867" s="1"/>
      <c r="J867" s="1"/>
      <c r="L867" s="1"/>
      <c r="M867" s="1"/>
      <c r="O867" s="2"/>
      <c r="P867" s="2"/>
    </row>
    <row r="868" spans="1:16" x14ac:dyDescent="0.25">
      <c r="A868" s="2"/>
      <c r="B868" s="2"/>
      <c r="F868" s="1"/>
      <c r="G868" s="1"/>
      <c r="I868" s="1"/>
      <c r="J868" s="1"/>
      <c r="L868" s="1"/>
      <c r="M868" s="1"/>
      <c r="O868" s="2"/>
      <c r="P868" s="2"/>
    </row>
    <row r="869" spans="1:16" x14ac:dyDescent="0.25">
      <c r="A869" s="2"/>
      <c r="B869" s="2"/>
      <c r="F869" s="1"/>
      <c r="G869" s="1"/>
      <c r="I869" s="1"/>
      <c r="J869" s="1"/>
      <c r="L869" s="1"/>
      <c r="M869" s="1"/>
      <c r="O869" s="2"/>
      <c r="P869" s="2"/>
    </row>
    <row r="870" spans="1:16" x14ac:dyDescent="0.25">
      <c r="A870" s="2"/>
      <c r="B870" s="2"/>
      <c r="F870" s="1"/>
      <c r="G870" s="1"/>
      <c r="I870" s="1"/>
      <c r="J870" s="1"/>
      <c r="L870" s="1"/>
      <c r="M870" s="1"/>
      <c r="O870" s="2"/>
      <c r="P870" s="2"/>
    </row>
    <row r="871" spans="1:16" x14ac:dyDescent="0.25">
      <c r="A871" s="2"/>
      <c r="B871" s="2"/>
      <c r="F871" s="1"/>
      <c r="G871" s="1"/>
      <c r="I871" s="1"/>
      <c r="J871" s="1"/>
      <c r="L871" s="1"/>
      <c r="M871" s="1"/>
      <c r="O871" s="2"/>
      <c r="P871" s="2"/>
    </row>
    <row r="872" spans="1:16" x14ac:dyDescent="0.25">
      <c r="A872" s="2"/>
      <c r="B872" s="2"/>
      <c r="F872" s="1"/>
      <c r="G872" s="1"/>
      <c r="I872" s="1"/>
      <c r="J872" s="1"/>
      <c r="L872" s="1"/>
      <c r="M872" s="1"/>
      <c r="O872" s="2"/>
      <c r="P872" s="2"/>
    </row>
    <row r="873" spans="1:16" x14ac:dyDescent="0.25">
      <c r="A873" s="2"/>
      <c r="B873" s="2"/>
      <c r="F873" s="1"/>
      <c r="G873" s="1"/>
      <c r="I873" s="1"/>
      <c r="J873" s="1"/>
      <c r="L873" s="1"/>
      <c r="M873" s="1"/>
      <c r="O873" s="2"/>
      <c r="P873" s="2"/>
    </row>
    <row r="874" spans="1:16" x14ac:dyDescent="0.25">
      <c r="A874" s="2"/>
      <c r="B874" s="2"/>
      <c r="F874" s="1"/>
      <c r="G874" s="1"/>
      <c r="I874" s="1"/>
      <c r="J874" s="1"/>
      <c r="L874" s="1"/>
      <c r="M874" s="1"/>
      <c r="O874" s="2"/>
      <c r="P874" s="2"/>
    </row>
    <row r="875" spans="1:16" x14ac:dyDescent="0.25">
      <c r="A875" s="2"/>
      <c r="B875" s="2"/>
      <c r="F875" s="1"/>
      <c r="G875" s="1"/>
      <c r="I875" s="1"/>
      <c r="J875" s="1"/>
      <c r="L875" s="1"/>
      <c r="M875" s="1"/>
      <c r="O875" s="2"/>
      <c r="P875" s="2"/>
    </row>
    <row r="876" spans="1:16" x14ac:dyDescent="0.25">
      <c r="A876" s="2"/>
      <c r="B876" s="2"/>
      <c r="F876" s="1"/>
      <c r="G876" s="1"/>
      <c r="I876" s="1"/>
      <c r="J876" s="1"/>
      <c r="L876" s="1"/>
      <c r="M876" s="1"/>
      <c r="O876" s="2"/>
      <c r="P876" s="2"/>
    </row>
    <row r="877" spans="1:16" x14ac:dyDescent="0.25">
      <c r="A877" s="2"/>
      <c r="B877" s="2"/>
      <c r="F877" s="1"/>
      <c r="G877" s="1"/>
      <c r="I877" s="1"/>
      <c r="J877" s="1"/>
      <c r="L877" s="1"/>
      <c r="M877" s="1"/>
      <c r="O877" s="2"/>
      <c r="P877" s="2"/>
    </row>
    <row r="878" spans="1:16" x14ac:dyDescent="0.25">
      <c r="A878" s="2"/>
      <c r="B878" s="2"/>
      <c r="F878" s="1"/>
      <c r="G878" s="1"/>
      <c r="I878" s="1"/>
      <c r="J878" s="1"/>
      <c r="L878" s="1"/>
      <c r="M878" s="1"/>
      <c r="O878" s="2"/>
      <c r="P878" s="2"/>
    </row>
    <row r="879" spans="1:16" x14ac:dyDescent="0.25">
      <c r="A879" s="2"/>
      <c r="B879" s="2"/>
      <c r="F879" s="1"/>
      <c r="G879" s="1"/>
      <c r="I879" s="1"/>
      <c r="J879" s="1"/>
      <c r="L879" s="1"/>
      <c r="M879" s="1"/>
      <c r="O879" s="2"/>
      <c r="P879" s="2"/>
    </row>
    <row r="880" spans="1:16" x14ac:dyDescent="0.25">
      <c r="A880" s="2"/>
      <c r="B880" s="2"/>
      <c r="F880" s="1"/>
      <c r="G880" s="1"/>
      <c r="I880" s="1"/>
      <c r="J880" s="1"/>
      <c r="L880" s="1"/>
      <c r="M880" s="1"/>
      <c r="O880" s="2"/>
      <c r="P880" s="2"/>
    </row>
    <row r="881" spans="1:16" x14ac:dyDescent="0.25">
      <c r="A881" s="2"/>
      <c r="B881" s="2"/>
      <c r="F881" s="1"/>
      <c r="G881" s="1"/>
      <c r="I881" s="1"/>
      <c r="J881" s="1"/>
      <c r="L881" s="1"/>
      <c r="M881" s="1"/>
      <c r="O881" s="2"/>
      <c r="P881" s="2"/>
    </row>
    <row r="882" spans="1:16" x14ac:dyDescent="0.25">
      <c r="A882" s="2"/>
      <c r="B882" s="2"/>
      <c r="F882" s="1"/>
      <c r="G882" s="1"/>
      <c r="I882" s="1"/>
      <c r="J882" s="1"/>
      <c r="L882" s="1"/>
      <c r="M882" s="1"/>
      <c r="O882" s="2"/>
      <c r="P882" s="2"/>
    </row>
    <row r="883" spans="1:16" x14ac:dyDescent="0.25">
      <c r="A883" s="2"/>
      <c r="B883" s="2"/>
      <c r="F883" s="1"/>
      <c r="G883" s="1"/>
      <c r="I883" s="1"/>
      <c r="J883" s="1"/>
      <c r="L883" s="1"/>
      <c r="M883" s="1"/>
      <c r="O883" s="2"/>
      <c r="P883" s="2"/>
    </row>
    <row r="884" spans="1:16" x14ac:dyDescent="0.25">
      <c r="A884" s="2"/>
      <c r="B884" s="2"/>
      <c r="F884" s="1"/>
      <c r="G884" s="1"/>
      <c r="I884" s="1"/>
      <c r="J884" s="1"/>
      <c r="L884" s="1"/>
      <c r="M884" s="1"/>
      <c r="O884" s="2"/>
      <c r="P884" s="2"/>
    </row>
    <row r="885" spans="1:16" x14ac:dyDescent="0.25">
      <c r="A885" s="2"/>
      <c r="B885" s="2"/>
      <c r="F885" s="1"/>
      <c r="G885" s="1"/>
      <c r="I885" s="1"/>
      <c r="J885" s="1"/>
      <c r="L885" s="1"/>
      <c r="M885" s="1"/>
      <c r="O885" s="2"/>
      <c r="P885" s="2"/>
    </row>
    <row r="886" spans="1:16" x14ac:dyDescent="0.25">
      <c r="A886" s="2"/>
      <c r="B886" s="2"/>
      <c r="F886" s="1"/>
      <c r="G886" s="1"/>
      <c r="I886" s="1"/>
      <c r="J886" s="1"/>
      <c r="L886" s="1"/>
      <c r="M886" s="1"/>
      <c r="O886" s="2"/>
      <c r="P886" s="2"/>
    </row>
    <row r="887" spans="1:16" x14ac:dyDescent="0.25">
      <c r="A887" s="2"/>
      <c r="B887" s="2"/>
      <c r="F887" s="1"/>
      <c r="G887" s="1"/>
      <c r="I887" s="1"/>
      <c r="J887" s="1"/>
      <c r="L887" s="1"/>
      <c r="M887" s="1"/>
      <c r="O887" s="2"/>
      <c r="P887" s="2"/>
    </row>
    <row r="888" spans="1:16" x14ac:dyDescent="0.25">
      <c r="A888" s="2"/>
      <c r="B888" s="2"/>
      <c r="F888" s="1"/>
      <c r="G888" s="1"/>
      <c r="I888" s="1"/>
      <c r="J888" s="1"/>
      <c r="L888" s="1"/>
      <c r="M888" s="1"/>
      <c r="O888" s="2"/>
      <c r="P888" s="2"/>
    </row>
    <row r="889" spans="1:16" x14ac:dyDescent="0.25">
      <c r="A889" s="2"/>
      <c r="B889" s="2"/>
      <c r="F889" s="1"/>
      <c r="G889" s="1"/>
      <c r="I889" s="1"/>
      <c r="J889" s="1"/>
      <c r="L889" s="1"/>
      <c r="M889" s="1"/>
      <c r="O889" s="2"/>
      <c r="P889" s="2"/>
    </row>
    <row r="890" spans="1:16" x14ac:dyDescent="0.25">
      <c r="A890" s="2"/>
      <c r="B890" s="2"/>
      <c r="F890" s="1"/>
      <c r="G890" s="1"/>
      <c r="I890" s="1"/>
      <c r="J890" s="1"/>
      <c r="L890" s="1"/>
      <c r="M890" s="1"/>
      <c r="O890" s="2"/>
      <c r="P890" s="2"/>
    </row>
    <row r="891" spans="1:16" x14ac:dyDescent="0.25">
      <c r="A891" s="2"/>
      <c r="B891" s="2"/>
      <c r="F891" s="1"/>
      <c r="G891" s="1"/>
      <c r="I891" s="1"/>
      <c r="J891" s="1"/>
      <c r="L891" s="1"/>
      <c r="M891" s="1"/>
      <c r="O891" s="2"/>
      <c r="P891" s="2"/>
    </row>
    <row r="892" spans="1:16" x14ac:dyDescent="0.25">
      <c r="A892" s="2"/>
      <c r="B892" s="2"/>
      <c r="F892" s="1"/>
      <c r="G892" s="1"/>
      <c r="I892" s="1"/>
      <c r="J892" s="1"/>
      <c r="L892" s="1"/>
      <c r="M892" s="1"/>
      <c r="O892" s="2"/>
      <c r="P892" s="2"/>
    </row>
    <row r="893" spans="1:16" x14ac:dyDescent="0.25">
      <c r="A893" s="2"/>
      <c r="B893" s="2"/>
      <c r="F893" s="1"/>
      <c r="G893" s="1"/>
      <c r="I893" s="1"/>
      <c r="J893" s="1"/>
      <c r="L893" s="1"/>
      <c r="M893" s="1"/>
      <c r="O893" s="2"/>
      <c r="P893" s="2"/>
    </row>
    <row r="894" spans="1:16" x14ac:dyDescent="0.25">
      <c r="A894" s="2"/>
      <c r="B894" s="2"/>
      <c r="F894" s="1"/>
      <c r="G894" s="1"/>
      <c r="I894" s="1"/>
      <c r="J894" s="1"/>
      <c r="L894" s="1"/>
      <c r="M894" s="1"/>
      <c r="O894" s="2"/>
      <c r="P894" s="2"/>
    </row>
    <row r="895" spans="1:16" x14ac:dyDescent="0.25">
      <c r="A895" s="2"/>
      <c r="B895" s="2"/>
      <c r="F895" s="1"/>
      <c r="G895" s="1"/>
      <c r="I895" s="1"/>
      <c r="J895" s="1"/>
      <c r="L895" s="1"/>
      <c r="M895" s="1"/>
      <c r="O895" s="2"/>
      <c r="P895" s="2"/>
    </row>
    <row r="896" spans="1:16" x14ac:dyDescent="0.25">
      <c r="A896" s="2"/>
      <c r="B896" s="2"/>
      <c r="F896" s="1"/>
      <c r="G896" s="1"/>
      <c r="I896" s="1"/>
      <c r="J896" s="1"/>
      <c r="L896" s="1"/>
      <c r="M896" s="1"/>
      <c r="O896" s="2"/>
      <c r="P896" s="2"/>
    </row>
    <row r="897" spans="1:16" x14ac:dyDescent="0.25">
      <c r="A897" s="2"/>
      <c r="B897" s="2"/>
      <c r="F897" s="1"/>
      <c r="G897" s="1"/>
      <c r="I897" s="1"/>
      <c r="J897" s="1"/>
      <c r="L897" s="1"/>
      <c r="M897" s="1"/>
      <c r="O897" s="2"/>
      <c r="P897" s="2"/>
    </row>
    <row r="898" spans="1:16" x14ac:dyDescent="0.25">
      <c r="A898" s="2"/>
      <c r="B898" s="2"/>
      <c r="F898" s="1"/>
      <c r="G898" s="1"/>
      <c r="I898" s="1"/>
      <c r="J898" s="1"/>
      <c r="L898" s="1"/>
      <c r="M898" s="1"/>
      <c r="O898" s="2"/>
      <c r="P898" s="2"/>
    </row>
    <row r="899" spans="1:16" x14ac:dyDescent="0.25">
      <c r="A899" s="2"/>
      <c r="B899" s="2"/>
      <c r="F899" s="1"/>
      <c r="G899" s="1"/>
      <c r="I899" s="1"/>
      <c r="J899" s="1"/>
      <c r="L899" s="1"/>
      <c r="M899" s="1"/>
      <c r="O899" s="2"/>
      <c r="P899" s="2"/>
    </row>
    <row r="900" spans="1:16" x14ac:dyDescent="0.25">
      <c r="A900" s="2"/>
      <c r="B900" s="2"/>
      <c r="F900" s="1"/>
      <c r="G900" s="1"/>
      <c r="I900" s="1"/>
      <c r="J900" s="1"/>
      <c r="L900" s="1"/>
      <c r="M900" s="1"/>
      <c r="O900" s="2"/>
      <c r="P900" s="2"/>
    </row>
    <row r="901" spans="1:16" x14ac:dyDescent="0.25">
      <c r="A901" s="2"/>
      <c r="B901" s="2"/>
      <c r="F901" s="1"/>
      <c r="G901" s="1"/>
      <c r="I901" s="1"/>
      <c r="J901" s="1"/>
      <c r="L901" s="1"/>
      <c r="M901" s="1"/>
      <c r="O901" s="2"/>
      <c r="P901" s="2"/>
    </row>
    <row r="902" spans="1:16" x14ac:dyDescent="0.25">
      <c r="A902" s="2"/>
      <c r="B902" s="2"/>
      <c r="F902" s="1"/>
      <c r="G902" s="1"/>
      <c r="I902" s="1"/>
      <c r="J902" s="1"/>
      <c r="L902" s="1"/>
      <c r="M902" s="1"/>
      <c r="O902" s="2"/>
      <c r="P902" s="2"/>
    </row>
    <row r="903" spans="1:16" x14ac:dyDescent="0.25">
      <c r="A903" s="2"/>
      <c r="B903" s="2"/>
      <c r="F903" s="1"/>
      <c r="G903" s="1"/>
      <c r="I903" s="1"/>
      <c r="J903" s="1"/>
      <c r="L903" s="1"/>
      <c r="M903" s="1"/>
      <c r="O903" s="2"/>
      <c r="P903" s="2"/>
    </row>
    <row r="904" spans="1:16" x14ac:dyDescent="0.25">
      <c r="A904" s="2"/>
      <c r="B904" s="2"/>
      <c r="F904" s="1"/>
      <c r="G904" s="1"/>
      <c r="I904" s="1"/>
      <c r="J904" s="1"/>
      <c r="L904" s="1"/>
      <c r="M904" s="1"/>
      <c r="O904" s="2"/>
      <c r="P904" s="2"/>
    </row>
    <row r="905" spans="1:16" x14ac:dyDescent="0.25">
      <c r="A905" s="2"/>
      <c r="B905" s="2"/>
      <c r="F905" s="1"/>
      <c r="G905" s="1"/>
      <c r="I905" s="1"/>
      <c r="J905" s="1"/>
      <c r="L905" s="1"/>
      <c r="M905" s="1"/>
      <c r="O905" s="2"/>
      <c r="P905" s="2"/>
    </row>
    <row r="906" spans="1:16" x14ac:dyDescent="0.25">
      <c r="A906" s="2"/>
      <c r="B906" s="2"/>
      <c r="F906" s="1"/>
      <c r="G906" s="1"/>
      <c r="I906" s="1"/>
      <c r="J906" s="1"/>
      <c r="L906" s="1"/>
      <c r="M906" s="1"/>
      <c r="O906" s="2"/>
      <c r="P906" s="2"/>
    </row>
    <row r="907" spans="1:16" x14ac:dyDescent="0.25">
      <c r="A907" s="2"/>
      <c r="B907" s="2"/>
      <c r="F907" s="1"/>
      <c r="G907" s="1"/>
      <c r="I907" s="1"/>
      <c r="J907" s="1"/>
      <c r="L907" s="1"/>
      <c r="M907" s="1"/>
      <c r="O907" s="2"/>
      <c r="P907" s="2"/>
    </row>
    <row r="908" spans="1:16" x14ac:dyDescent="0.25">
      <c r="A908" s="2"/>
      <c r="B908" s="2"/>
      <c r="F908" s="1"/>
      <c r="G908" s="1"/>
      <c r="I908" s="1"/>
      <c r="J908" s="1"/>
      <c r="L908" s="1"/>
      <c r="M908" s="1"/>
      <c r="O908" s="2"/>
      <c r="P908" s="2"/>
    </row>
    <row r="909" spans="1:16" x14ac:dyDescent="0.25">
      <c r="A909" s="2"/>
      <c r="B909" s="2"/>
      <c r="F909" s="1"/>
      <c r="G909" s="1"/>
      <c r="I909" s="1"/>
      <c r="J909" s="1"/>
      <c r="L909" s="1"/>
      <c r="M909" s="1"/>
      <c r="O909" s="2"/>
      <c r="P909" s="2"/>
    </row>
    <row r="910" spans="1:16" x14ac:dyDescent="0.25">
      <c r="A910" s="2"/>
      <c r="B910" s="2"/>
      <c r="F910" s="1"/>
      <c r="G910" s="1"/>
      <c r="I910" s="1"/>
      <c r="J910" s="1"/>
      <c r="L910" s="1"/>
      <c r="M910" s="1"/>
      <c r="O910" s="2"/>
      <c r="P910" s="2"/>
    </row>
    <row r="911" spans="1:16" x14ac:dyDescent="0.25">
      <c r="A911" s="2"/>
      <c r="B911" s="2"/>
      <c r="F911" s="1"/>
      <c r="G911" s="1"/>
      <c r="I911" s="1"/>
      <c r="J911" s="1"/>
      <c r="L911" s="1"/>
      <c r="M911" s="1"/>
      <c r="O911" s="2"/>
      <c r="P911" s="2"/>
    </row>
    <row r="912" spans="1:16" x14ac:dyDescent="0.25">
      <c r="A912" s="2"/>
      <c r="B912" s="2"/>
      <c r="F912" s="1"/>
      <c r="G912" s="1"/>
      <c r="I912" s="1"/>
      <c r="J912" s="1"/>
      <c r="L912" s="1"/>
      <c r="M912" s="1"/>
      <c r="O912" s="2"/>
      <c r="P912" s="2"/>
    </row>
    <row r="913" spans="1:16" x14ac:dyDescent="0.25">
      <c r="A913" s="2"/>
      <c r="B913" s="2"/>
      <c r="F913" s="1"/>
      <c r="G913" s="1"/>
      <c r="I913" s="1"/>
      <c r="J913" s="1"/>
      <c r="L913" s="1"/>
      <c r="M913" s="1"/>
      <c r="O913" s="2"/>
      <c r="P913" s="2"/>
    </row>
    <row r="914" spans="1:16" x14ac:dyDescent="0.25">
      <c r="A914" s="2"/>
      <c r="B914" s="2"/>
      <c r="F914" s="1"/>
      <c r="G914" s="1"/>
      <c r="I914" s="1"/>
      <c r="J914" s="1"/>
      <c r="L914" s="1"/>
      <c r="M914" s="1"/>
      <c r="O914" s="2"/>
      <c r="P914" s="2"/>
    </row>
    <row r="915" spans="1:16" x14ac:dyDescent="0.25">
      <c r="A915" s="2"/>
      <c r="B915" s="2"/>
      <c r="F915" s="1"/>
      <c r="G915" s="1"/>
      <c r="I915" s="1"/>
      <c r="J915" s="1"/>
      <c r="L915" s="1"/>
      <c r="M915" s="1"/>
      <c r="O915" s="2"/>
      <c r="P915" s="2"/>
    </row>
    <row r="916" spans="1:16" x14ac:dyDescent="0.25">
      <c r="A916" s="2"/>
      <c r="B916" s="2"/>
      <c r="F916" s="1"/>
      <c r="G916" s="1"/>
      <c r="I916" s="1"/>
      <c r="J916" s="1"/>
      <c r="L916" s="1"/>
      <c r="M916" s="1"/>
      <c r="O916" s="2"/>
      <c r="P916" s="2"/>
    </row>
    <row r="917" spans="1:16" x14ac:dyDescent="0.25">
      <c r="A917" s="2"/>
      <c r="B917" s="2"/>
      <c r="F917" s="1"/>
      <c r="G917" s="1"/>
      <c r="I917" s="1"/>
      <c r="J917" s="1"/>
      <c r="L917" s="1"/>
      <c r="M917" s="1"/>
      <c r="O917" s="2"/>
      <c r="P917" s="2"/>
    </row>
    <row r="918" spans="1:16" x14ac:dyDescent="0.25">
      <c r="A918" s="2"/>
      <c r="B918" s="2"/>
      <c r="F918" s="1"/>
      <c r="G918" s="1"/>
      <c r="I918" s="1"/>
      <c r="J918" s="1"/>
      <c r="L918" s="1"/>
      <c r="M918" s="1"/>
      <c r="O918" s="2"/>
      <c r="P918" s="2"/>
    </row>
    <row r="919" spans="1:16" x14ac:dyDescent="0.25">
      <c r="A919" s="2"/>
      <c r="B919" s="2"/>
      <c r="F919" s="1"/>
      <c r="G919" s="1"/>
      <c r="I919" s="1"/>
      <c r="J919" s="1"/>
      <c r="L919" s="1"/>
      <c r="M919" s="1"/>
      <c r="O919" s="2"/>
      <c r="P919" s="2"/>
    </row>
    <row r="920" spans="1:16" x14ac:dyDescent="0.25">
      <c r="A920" s="2"/>
      <c r="B920" s="2"/>
      <c r="F920" s="1"/>
      <c r="G920" s="1"/>
      <c r="I920" s="1"/>
      <c r="J920" s="1"/>
      <c r="L920" s="1"/>
      <c r="M920" s="1"/>
      <c r="O920" s="2"/>
      <c r="P920" s="2"/>
    </row>
    <row r="921" spans="1:16" x14ac:dyDescent="0.25">
      <c r="A921" s="2"/>
      <c r="B921" s="2"/>
      <c r="F921" s="1"/>
      <c r="G921" s="1"/>
      <c r="I921" s="1"/>
      <c r="J921" s="1"/>
      <c r="L921" s="1"/>
      <c r="M921" s="1"/>
      <c r="O921" s="2"/>
      <c r="P921" s="2"/>
    </row>
    <row r="922" spans="1:16" x14ac:dyDescent="0.25">
      <c r="A922" s="2"/>
      <c r="B922" s="2"/>
      <c r="F922" s="1"/>
      <c r="G922" s="1"/>
      <c r="I922" s="1"/>
      <c r="J922" s="1"/>
      <c r="L922" s="1"/>
      <c r="M922" s="1"/>
      <c r="O922" s="2"/>
      <c r="P922" s="2"/>
    </row>
    <row r="923" spans="1:16" x14ac:dyDescent="0.25">
      <c r="A923" s="2"/>
      <c r="B923" s="2"/>
      <c r="F923" s="1"/>
      <c r="G923" s="1"/>
      <c r="I923" s="1"/>
      <c r="J923" s="1"/>
      <c r="L923" s="1"/>
      <c r="M923" s="1"/>
      <c r="O923" s="2"/>
      <c r="P923" s="2"/>
    </row>
    <row r="924" spans="1:16" x14ac:dyDescent="0.25">
      <c r="A924" s="2"/>
      <c r="B924" s="2"/>
      <c r="F924" s="1"/>
      <c r="G924" s="1"/>
      <c r="I924" s="1"/>
      <c r="J924" s="1"/>
      <c r="L924" s="1"/>
      <c r="M924" s="1"/>
      <c r="O924" s="2"/>
      <c r="P924" s="2"/>
    </row>
    <row r="925" spans="1:16" x14ac:dyDescent="0.25">
      <c r="A925" s="2"/>
      <c r="B925" s="2"/>
      <c r="F925" s="1"/>
      <c r="G925" s="1"/>
      <c r="I925" s="1"/>
      <c r="J925" s="1"/>
      <c r="L925" s="1"/>
      <c r="M925" s="1"/>
      <c r="O925" s="2"/>
      <c r="P925" s="2"/>
    </row>
    <row r="926" spans="1:16" x14ac:dyDescent="0.25">
      <c r="A926" s="2"/>
      <c r="B926" s="2"/>
      <c r="F926" s="1"/>
      <c r="G926" s="1"/>
      <c r="I926" s="1"/>
      <c r="J926" s="1"/>
      <c r="L926" s="1"/>
      <c r="M926" s="1"/>
      <c r="O926" s="2"/>
      <c r="P926" s="2"/>
    </row>
    <row r="927" spans="1:16" x14ac:dyDescent="0.25">
      <c r="A927" s="2"/>
      <c r="B927" s="2"/>
      <c r="F927" s="1"/>
      <c r="G927" s="1"/>
      <c r="I927" s="1"/>
      <c r="J927" s="1"/>
      <c r="L927" s="1"/>
      <c r="M927" s="1"/>
      <c r="O927" s="2"/>
      <c r="P927" s="2"/>
    </row>
    <row r="928" spans="1:16" x14ac:dyDescent="0.25">
      <c r="A928" s="2"/>
      <c r="B928" s="2"/>
      <c r="F928" s="1"/>
      <c r="G928" s="1"/>
      <c r="I928" s="1"/>
      <c r="J928" s="1"/>
      <c r="L928" s="1"/>
      <c r="M928" s="1"/>
      <c r="O928" s="2"/>
      <c r="P928" s="2"/>
    </row>
    <row r="929" spans="1:16" x14ac:dyDescent="0.25">
      <c r="A929" s="2"/>
      <c r="B929" s="2"/>
      <c r="F929" s="1"/>
      <c r="G929" s="1"/>
      <c r="I929" s="1"/>
      <c r="J929" s="1"/>
      <c r="L929" s="1"/>
      <c r="M929" s="1"/>
      <c r="O929" s="2"/>
      <c r="P929" s="2"/>
    </row>
    <row r="930" spans="1:16" x14ac:dyDescent="0.25">
      <c r="A930" s="2"/>
      <c r="B930" s="2"/>
      <c r="F930" s="1"/>
      <c r="G930" s="1"/>
      <c r="I930" s="1"/>
      <c r="J930" s="1"/>
      <c r="L930" s="1"/>
      <c r="M930" s="1"/>
      <c r="O930" s="2"/>
      <c r="P930" s="2"/>
    </row>
    <row r="931" spans="1:16" x14ac:dyDescent="0.25">
      <c r="A931" s="2"/>
      <c r="B931" s="2"/>
      <c r="F931" s="1"/>
      <c r="G931" s="1"/>
      <c r="I931" s="1"/>
      <c r="J931" s="1"/>
      <c r="L931" s="1"/>
      <c r="M931" s="1"/>
      <c r="O931" s="2"/>
      <c r="P931" s="2"/>
    </row>
    <row r="932" spans="1:16" x14ac:dyDescent="0.25">
      <c r="A932" s="2"/>
      <c r="B932" s="2"/>
      <c r="F932" s="1"/>
      <c r="G932" s="1"/>
      <c r="I932" s="1"/>
      <c r="J932" s="1"/>
      <c r="L932" s="1"/>
      <c r="M932" s="1"/>
      <c r="O932" s="2"/>
      <c r="P932" s="2"/>
    </row>
    <row r="933" spans="1:16" x14ac:dyDescent="0.25">
      <c r="A933" s="2"/>
      <c r="B933" s="2"/>
      <c r="F933" s="1"/>
      <c r="G933" s="1"/>
      <c r="I933" s="1"/>
      <c r="J933" s="1"/>
      <c r="L933" s="1"/>
      <c r="M933" s="1"/>
      <c r="O933" s="2"/>
      <c r="P933" s="2"/>
    </row>
    <row r="934" spans="1:16" x14ac:dyDescent="0.25">
      <c r="A934" s="2"/>
      <c r="B934" s="2"/>
      <c r="F934" s="1"/>
      <c r="G934" s="1"/>
      <c r="I934" s="1"/>
      <c r="J934" s="1"/>
      <c r="L934" s="1"/>
      <c r="M934" s="1"/>
      <c r="O934" s="2"/>
      <c r="P934" s="2"/>
    </row>
    <row r="935" spans="1:16" x14ac:dyDescent="0.25">
      <c r="A935" s="2"/>
      <c r="B935" s="2"/>
      <c r="F935" s="1"/>
      <c r="G935" s="1"/>
      <c r="I935" s="1"/>
      <c r="J935" s="1"/>
      <c r="L935" s="1"/>
      <c r="M935" s="1"/>
      <c r="O935" s="2"/>
      <c r="P935" s="2"/>
    </row>
    <row r="936" spans="1:16" x14ac:dyDescent="0.25">
      <c r="A936" s="2"/>
      <c r="B936" s="2"/>
      <c r="F936" s="1"/>
      <c r="G936" s="1"/>
      <c r="I936" s="1"/>
      <c r="J936" s="1"/>
      <c r="L936" s="1"/>
      <c r="M936" s="1"/>
      <c r="O936" s="2"/>
      <c r="P936" s="2"/>
    </row>
    <row r="937" spans="1:16" x14ac:dyDescent="0.25">
      <c r="A937" s="2"/>
      <c r="B937" s="2"/>
      <c r="F937" s="1"/>
      <c r="G937" s="1"/>
      <c r="I937" s="1"/>
      <c r="J937" s="1"/>
      <c r="L937" s="1"/>
      <c r="M937" s="1"/>
      <c r="O937" s="2"/>
      <c r="P937" s="2"/>
    </row>
    <row r="938" spans="1:16" x14ac:dyDescent="0.25">
      <c r="A938" s="2"/>
      <c r="B938" s="2"/>
      <c r="F938" s="1"/>
      <c r="G938" s="1"/>
      <c r="I938" s="1"/>
      <c r="J938" s="1"/>
      <c r="L938" s="1"/>
      <c r="M938" s="1"/>
      <c r="O938" s="2"/>
      <c r="P938" s="2"/>
    </row>
    <row r="939" spans="1:16" x14ac:dyDescent="0.25">
      <c r="A939" s="2"/>
      <c r="B939" s="2"/>
      <c r="F939" s="1"/>
      <c r="G939" s="1"/>
      <c r="I939" s="1"/>
      <c r="J939" s="1"/>
      <c r="L939" s="1"/>
      <c r="M939" s="1"/>
      <c r="O939" s="2"/>
      <c r="P939" s="2"/>
    </row>
    <row r="940" spans="1:16" x14ac:dyDescent="0.25">
      <c r="A940" s="2"/>
      <c r="B940" s="2"/>
      <c r="F940" s="1"/>
      <c r="G940" s="1"/>
      <c r="I940" s="1"/>
      <c r="J940" s="1"/>
      <c r="L940" s="1"/>
      <c r="M940" s="1"/>
      <c r="O940" s="2"/>
      <c r="P940" s="2"/>
    </row>
    <row r="941" spans="1:16" x14ac:dyDescent="0.25">
      <c r="A941" s="2"/>
      <c r="B941" s="2"/>
      <c r="F941" s="1"/>
      <c r="G941" s="1"/>
      <c r="I941" s="1"/>
      <c r="J941" s="1"/>
      <c r="L941" s="1"/>
      <c r="M941" s="1"/>
      <c r="O941" s="2"/>
      <c r="P941" s="2"/>
    </row>
    <row r="942" spans="1:16" x14ac:dyDescent="0.25">
      <c r="A942" s="2"/>
      <c r="B942" s="2"/>
      <c r="F942" s="1"/>
      <c r="G942" s="1"/>
      <c r="I942" s="1"/>
      <c r="J942" s="1"/>
      <c r="L942" s="1"/>
      <c r="M942" s="1"/>
      <c r="O942" s="2"/>
      <c r="P942" s="2"/>
    </row>
    <row r="943" spans="1:16" x14ac:dyDescent="0.25">
      <c r="A943" s="2"/>
      <c r="B943" s="2"/>
      <c r="F943" s="1"/>
      <c r="G943" s="1"/>
      <c r="I943" s="1"/>
      <c r="J943" s="1"/>
      <c r="L943" s="1"/>
      <c r="M943" s="1"/>
      <c r="O943" s="2"/>
      <c r="P943" s="2"/>
    </row>
    <row r="944" spans="1:16" x14ac:dyDescent="0.25">
      <c r="A944" s="2"/>
      <c r="B944" s="2"/>
      <c r="F944" s="1"/>
      <c r="G944" s="1"/>
      <c r="I944" s="1"/>
      <c r="J944" s="1"/>
      <c r="L944" s="1"/>
      <c r="M944" s="1"/>
      <c r="O944" s="2"/>
      <c r="P944" s="2"/>
    </row>
    <row r="945" spans="1:16" x14ac:dyDescent="0.25">
      <c r="A945" s="2"/>
      <c r="B945" s="2"/>
      <c r="F945" s="1"/>
      <c r="G945" s="1"/>
      <c r="I945" s="1"/>
      <c r="J945" s="1"/>
      <c r="L945" s="1"/>
      <c r="M945" s="1"/>
      <c r="O945" s="2"/>
      <c r="P945" s="2"/>
    </row>
    <row r="946" spans="1:16" x14ac:dyDescent="0.25">
      <c r="A946" s="2"/>
      <c r="B946" s="2"/>
      <c r="F946" s="1"/>
      <c r="G946" s="1"/>
      <c r="I946" s="1"/>
      <c r="J946" s="1"/>
      <c r="L946" s="1"/>
      <c r="M946" s="1"/>
      <c r="O946" s="2"/>
      <c r="P946" s="2"/>
    </row>
    <row r="947" spans="1:16" x14ac:dyDescent="0.25">
      <c r="A947" s="2"/>
      <c r="B947" s="2"/>
      <c r="F947" s="1"/>
      <c r="G947" s="1"/>
      <c r="I947" s="1"/>
      <c r="J947" s="1"/>
      <c r="L947" s="1"/>
      <c r="M947" s="1"/>
      <c r="O947" s="2"/>
      <c r="P947" s="2"/>
    </row>
    <row r="948" spans="1:16" x14ac:dyDescent="0.25">
      <c r="A948" s="2"/>
      <c r="B948" s="2"/>
      <c r="F948" s="1"/>
      <c r="G948" s="1"/>
      <c r="I948" s="1"/>
      <c r="J948" s="1"/>
      <c r="L948" s="1"/>
      <c r="M948" s="1"/>
      <c r="O948" s="2"/>
      <c r="P948" s="2"/>
    </row>
    <row r="949" spans="1:16" x14ac:dyDescent="0.25">
      <c r="A949" s="2"/>
      <c r="B949" s="2"/>
      <c r="F949" s="1"/>
      <c r="G949" s="1"/>
      <c r="I949" s="1"/>
      <c r="J949" s="1"/>
      <c r="L949" s="1"/>
      <c r="M949" s="1"/>
      <c r="O949" s="2"/>
      <c r="P949" s="2"/>
    </row>
    <row r="950" spans="1:16" x14ac:dyDescent="0.25">
      <c r="A950" s="2"/>
      <c r="B950" s="2"/>
      <c r="F950" s="1"/>
      <c r="G950" s="1"/>
      <c r="I950" s="1"/>
      <c r="J950" s="1"/>
      <c r="L950" s="1"/>
      <c r="M950" s="1"/>
      <c r="O950" s="2"/>
      <c r="P950" s="2"/>
    </row>
    <row r="951" spans="1:16" x14ac:dyDescent="0.25">
      <c r="A951" s="2"/>
      <c r="B951" s="2"/>
      <c r="F951" s="1"/>
      <c r="G951" s="1"/>
      <c r="I951" s="1"/>
      <c r="J951" s="1"/>
      <c r="L951" s="1"/>
      <c r="M951" s="1"/>
      <c r="O951" s="2"/>
      <c r="P951" s="2"/>
    </row>
    <row r="952" spans="1:16" x14ac:dyDescent="0.25">
      <c r="A952" s="2"/>
      <c r="B952" s="2"/>
      <c r="F952" s="1"/>
      <c r="G952" s="1"/>
      <c r="I952" s="1"/>
      <c r="J952" s="1"/>
      <c r="L952" s="1"/>
      <c r="M952" s="1"/>
      <c r="O952" s="2"/>
      <c r="P952" s="2"/>
    </row>
    <row r="953" spans="1:16" x14ac:dyDescent="0.25">
      <c r="A953" s="2"/>
      <c r="B953" s="2"/>
      <c r="F953" s="1"/>
      <c r="G953" s="1"/>
      <c r="I953" s="1"/>
      <c r="J953" s="1"/>
      <c r="L953" s="1"/>
      <c r="M953" s="1"/>
      <c r="O953" s="2"/>
      <c r="P953" s="2"/>
    </row>
    <row r="954" spans="1:16" x14ac:dyDescent="0.25">
      <c r="A954" s="2"/>
      <c r="B954" s="2"/>
      <c r="F954" s="1"/>
      <c r="G954" s="1"/>
      <c r="I954" s="1"/>
      <c r="J954" s="1"/>
      <c r="L954" s="1"/>
      <c r="M954" s="1"/>
      <c r="O954" s="2"/>
      <c r="P954" s="2"/>
    </row>
    <row r="955" spans="1:16" x14ac:dyDescent="0.25">
      <c r="A955" s="2"/>
      <c r="B955" s="2"/>
      <c r="F955" s="1"/>
      <c r="G955" s="1"/>
      <c r="I955" s="1"/>
      <c r="J955" s="1"/>
      <c r="L955" s="1"/>
      <c r="M955" s="1"/>
      <c r="O955" s="2"/>
      <c r="P955" s="2"/>
    </row>
    <row r="956" spans="1:16" x14ac:dyDescent="0.25">
      <c r="A956" s="2"/>
      <c r="B956" s="2"/>
      <c r="F956" s="1"/>
      <c r="G956" s="1"/>
      <c r="I956" s="1"/>
      <c r="J956" s="1"/>
      <c r="L956" s="1"/>
      <c r="M956" s="1"/>
      <c r="O956" s="2"/>
      <c r="P956" s="2"/>
    </row>
    <row r="957" spans="1:16" x14ac:dyDescent="0.25">
      <c r="A957" s="2"/>
      <c r="B957" s="2"/>
      <c r="F957" s="1"/>
      <c r="G957" s="1"/>
      <c r="I957" s="1"/>
      <c r="J957" s="1"/>
      <c r="L957" s="1"/>
      <c r="M957" s="1"/>
      <c r="O957" s="2"/>
      <c r="P957" s="2"/>
    </row>
    <row r="958" spans="1:16" x14ac:dyDescent="0.25">
      <c r="A958" s="2"/>
      <c r="B958" s="2"/>
      <c r="F958" s="1"/>
      <c r="G958" s="1"/>
      <c r="I958" s="1"/>
      <c r="J958" s="1"/>
      <c r="L958" s="1"/>
      <c r="M958" s="1"/>
      <c r="O958" s="2"/>
      <c r="P958" s="2"/>
    </row>
    <row r="959" spans="1:16" x14ac:dyDescent="0.25">
      <c r="A959" s="2"/>
      <c r="B959" s="2"/>
      <c r="F959" s="1"/>
      <c r="G959" s="1"/>
      <c r="I959" s="1"/>
      <c r="J959" s="1"/>
      <c r="L959" s="1"/>
      <c r="M959" s="1"/>
      <c r="O959" s="2"/>
      <c r="P959" s="2"/>
    </row>
    <row r="960" spans="1:16" x14ac:dyDescent="0.25">
      <c r="A960" s="2"/>
      <c r="B960" s="2"/>
      <c r="F960" s="1"/>
      <c r="G960" s="1"/>
      <c r="I960" s="1"/>
      <c r="J960" s="1"/>
      <c r="L960" s="1"/>
      <c r="M960" s="1"/>
      <c r="O960" s="2"/>
      <c r="P960" s="2"/>
    </row>
    <row r="961" spans="1:16" x14ac:dyDescent="0.25">
      <c r="A961" s="2"/>
      <c r="B961" s="2"/>
      <c r="F961" s="1"/>
      <c r="G961" s="1"/>
      <c r="I961" s="1"/>
      <c r="J961" s="1"/>
      <c r="L961" s="1"/>
      <c r="M961" s="1"/>
      <c r="O961" s="2"/>
      <c r="P961" s="2"/>
    </row>
    <row r="962" spans="1:16" x14ac:dyDescent="0.25">
      <c r="A962" s="2"/>
      <c r="B962" s="2"/>
      <c r="F962" s="1"/>
      <c r="G962" s="1"/>
      <c r="I962" s="1"/>
      <c r="J962" s="1"/>
      <c r="L962" s="1"/>
      <c r="M962" s="1"/>
      <c r="O962" s="2"/>
      <c r="P962" s="2"/>
    </row>
    <row r="963" spans="1:16" x14ac:dyDescent="0.25">
      <c r="A963" s="2"/>
      <c r="B963" s="2"/>
      <c r="F963" s="1"/>
      <c r="G963" s="1"/>
      <c r="I963" s="1"/>
      <c r="J963" s="1"/>
      <c r="L963" s="1"/>
      <c r="M963" s="1"/>
      <c r="O963" s="2"/>
      <c r="P963" s="2"/>
    </row>
    <row r="964" spans="1:16" x14ac:dyDescent="0.25">
      <c r="A964" s="2"/>
      <c r="B964" s="2"/>
      <c r="F964" s="1"/>
      <c r="G964" s="1"/>
      <c r="I964" s="1"/>
      <c r="J964" s="1"/>
      <c r="L964" s="1"/>
      <c r="M964" s="1"/>
      <c r="O964" s="2"/>
      <c r="P964" s="2"/>
    </row>
    <row r="965" spans="1:16" x14ac:dyDescent="0.25">
      <c r="A965" s="2"/>
      <c r="B965" s="2"/>
      <c r="F965" s="1"/>
      <c r="G965" s="1"/>
      <c r="I965" s="1"/>
      <c r="J965" s="1"/>
      <c r="L965" s="1"/>
      <c r="M965" s="1"/>
      <c r="O965" s="2"/>
      <c r="P965" s="2"/>
    </row>
    <row r="966" spans="1:16" x14ac:dyDescent="0.25">
      <c r="A966" s="2"/>
      <c r="B966" s="2"/>
      <c r="F966" s="1"/>
      <c r="G966" s="1"/>
      <c r="I966" s="1"/>
      <c r="J966" s="1"/>
      <c r="L966" s="1"/>
      <c r="M966" s="1"/>
      <c r="O966" s="2"/>
      <c r="P966" s="2"/>
    </row>
    <row r="967" spans="1:16" x14ac:dyDescent="0.25">
      <c r="A967" s="2"/>
      <c r="B967" s="2"/>
      <c r="F967" s="1"/>
      <c r="G967" s="1"/>
      <c r="I967" s="1"/>
      <c r="J967" s="1"/>
      <c r="L967" s="1"/>
      <c r="M967" s="1"/>
      <c r="O967" s="2"/>
      <c r="P967" s="2"/>
    </row>
    <row r="968" spans="1:16" x14ac:dyDescent="0.25">
      <c r="A968" s="2"/>
      <c r="B968" s="2"/>
      <c r="F968" s="1"/>
      <c r="G968" s="1"/>
      <c r="I968" s="1"/>
      <c r="J968" s="1"/>
      <c r="L968" s="1"/>
      <c r="M968" s="1"/>
      <c r="O968" s="2"/>
      <c r="P968" s="2"/>
    </row>
    <row r="969" spans="1:16" x14ac:dyDescent="0.25">
      <c r="A969" s="2"/>
      <c r="B969" s="2"/>
      <c r="F969" s="1"/>
      <c r="G969" s="1"/>
      <c r="I969" s="1"/>
      <c r="J969" s="1"/>
      <c r="L969" s="1"/>
      <c r="M969" s="1"/>
      <c r="O969" s="2"/>
      <c r="P969" s="2"/>
    </row>
    <row r="970" spans="1:16" x14ac:dyDescent="0.25">
      <c r="A970" s="2"/>
      <c r="B970" s="2"/>
      <c r="F970" s="1"/>
      <c r="G970" s="1"/>
      <c r="I970" s="1"/>
      <c r="J970" s="1"/>
      <c r="L970" s="1"/>
      <c r="M970" s="1"/>
      <c r="O970" s="2"/>
      <c r="P970" s="2"/>
    </row>
    <row r="971" spans="1:16" x14ac:dyDescent="0.25">
      <c r="A971" s="2"/>
      <c r="B971" s="2"/>
      <c r="F971" s="1"/>
      <c r="G971" s="1"/>
      <c r="I971" s="1"/>
      <c r="J971" s="1"/>
      <c r="L971" s="1"/>
      <c r="M971" s="1"/>
      <c r="O971" s="2"/>
      <c r="P971" s="2"/>
    </row>
    <row r="972" spans="1:16" x14ac:dyDescent="0.25">
      <c r="A972" s="2"/>
      <c r="B972" s="2"/>
      <c r="F972" s="1"/>
      <c r="G972" s="1"/>
      <c r="I972" s="1"/>
      <c r="J972" s="1"/>
      <c r="L972" s="1"/>
      <c r="M972" s="1"/>
      <c r="O972" s="2"/>
      <c r="P972" s="2"/>
    </row>
    <row r="973" spans="1:16" x14ac:dyDescent="0.25">
      <c r="A973" s="2"/>
      <c r="B973" s="2"/>
      <c r="F973" s="1"/>
      <c r="G973" s="1"/>
      <c r="I973" s="1"/>
      <c r="J973" s="1"/>
      <c r="L973" s="1"/>
      <c r="M973" s="1"/>
      <c r="O973" s="2"/>
      <c r="P973" s="2"/>
    </row>
    <row r="974" spans="1:16" x14ac:dyDescent="0.25">
      <c r="A974" s="2"/>
      <c r="B974" s="2"/>
      <c r="F974" s="1"/>
      <c r="G974" s="1"/>
      <c r="I974" s="1"/>
      <c r="J974" s="1"/>
      <c r="L974" s="1"/>
      <c r="M974" s="1"/>
      <c r="O974" s="2"/>
      <c r="P974" s="2"/>
    </row>
    <row r="975" spans="1:16" x14ac:dyDescent="0.25">
      <c r="A975" s="2"/>
      <c r="B975" s="2"/>
      <c r="F975" s="1"/>
      <c r="G975" s="1"/>
      <c r="I975" s="1"/>
      <c r="J975" s="1"/>
      <c r="L975" s="1"/>
      <c r="M975" s="1"/>
      <c r="O975" s="2"/>
      <c r="P975" s="2"/>
    </row>
    <row r="976" spans="1:16" x14ac:dyDescent="0.25">
      <c r="A976" s="2"/>
      <c r="B976" s="2"/>
      <c r="F976" s="1"/>
      <c r="G976" s="1"/>
      <c r="I976" s="1"/>
      <c r="J976" s="1"/>
      <c r="L976" s="1"/>
      <c r="M976" s="1"/>
      <c r="O976" s="2"/>
      <c r="P976" s="2"/>
    </row>
    <row r="977" spans="1:16" x14ac:dyDescent="0.25">
      <c r="A977" s="2"/>
      <c r="B977" s="2"/>
      <c r="F977" s="1"/>
      <c r="G977" s="1"/>
      <c r="I977" s="1"/>
      <c r="J977" s="1"/>
      <c r="L977" s="1"/>
      <c r="M977" s="1"/>
      <c r="O977" s="2"/>
      <c r="P977" s="2"/>
    </row>
    <row r="978" spans="1:16" x14ac:dyDescent="0.25">
      <c r="A978" s="2"/>
      <c r="B978" s="2"/>
      <c r="F978" s="1"/>
      <c r="G978" s="1"/>
      <c r="I978" s="1"/>
      <c r="J978" s="1"/>
      <c r="L978" s="1"/>
      <c r="M978" s="1"/>
      <c r="O978" s="2"/>
      <c r="P978" s="2"/>
    </row>
    <row r="979" spans="1:16" x14ac:dyDescent="0.25">
      <c r="A979" s="2"/>
      <c r="B979" s="2"/>
      <c r="F979" s="1"/>
      <c r="G979" s="1"/>
      <c r="I979" s="1"/>
      <c r="J979" s="1"/>
      <c r="L979" s="1"/>
      <c r="M979" s="1"/>
      <c r="O979" s="2"/>
      <c r="P979" s="2"/>
    </row>
    <row r="980" spans="1:16" x14ac:dyDescent="0.25">
      <c r="A980" s="2"/>
      <c r="B980" s="2"/>
      <c r="F980" s="1"/>
      <c r="G980" s="1"/>
      <c r="I980" s="1"/>
      <c r="J980" s="1"/>
      <c r="L980" s="1"/>
      <c r="M980" s="1"/>
      <c r="O980" s="2"/>
      <c r="P980" s="2"/>
    </row>
    <row r="981" spans="1:16" x14ac:dyDescent="0.25">
      <c r="A981" s="2"/>
      <c r="B981" s="2"/>
      <c r="F981" s="1"/>
      <c r="G981" s="1"/>
      <c r="I981" s="1"/>
      <c r="J981" s="1"/>
      <c r="L981" s="1"/>
      <c r="M981" s="1"/>
      <c r="O981" s="2"/>
      <c r="P981" s="2"/>
    </row>
    <row r="982" spans="1:16" x14ac:dyDescent="0.25">
      <c r="A982" s="2"/>
      <c r="B982" s="2"/>
      <c r="F982" s="1"/>
      <c r="G982" s="1"/>
      <c r="I982" s="1"/>
      <c r="J982" s="1"/>
      <c r="L982" s="1"/>
      <c r="M982" s="1"/>
      <c r="O982" s="2"/>
      <c r="P982" s="2"/>
    </row>
    <row r="983" spans="1:16" x14ac:dyDescent="0.25">
      <c r="A983" s="2"/>
      <c r="B983" s="2"/>
      <c r="F983" s="1"/>
      <c r="G983" s="1"/>
      <c r="I983" s="1"/>
      <c r="J983" s="1"/>
      <c r="L983" s="1"/>
      <c r="M983" s="1"/>
      <c r="O983" s="2"/>
      <c r="P983" s="2"/>
    </row>
    <row r="984" spans="1:16" x14ac:dyDescent="0.25">
      <c r="A984" s="2"/>
      <c r="B984" s="2"/>
      <c r="F984" s="1"/>
      <c r="G984" s="1"/>
      <c r="I984" s="1"/>
      <c r="J984" s="1"/>
      <c r="L984" s="1"/>
      <c r="M984" s="1"/>
      <c r="O984" s="2"/>
      <c r="P984" s="2"/>
    </row>
    <row r="985" spans="1:16" x14ac:dyDescent="0.25">
      <c r="A985" s="2"/>
      <c r="B985" s="2"/>
      <c r="F985" s="1"/>
      <c r="G985" s="1"/>
      <c r="I985" s="1"/>
      <c r="J985" s="1"/>
      <c r="L985" s="1"/>
      <c r="M985" s="1"/>
      <c r="O985" s="2"/>
      <c r="P985" s="2"/>
    </row>
    <row r="986" spans="1:16" x14ac:dyDescent="0.25">
      <c r="A986" s="2"/>
      <c r="B986" s="2"/>
      <c r="F986" s="1"/>
      <c r="G986" s="1"/>
      <c r="I986" s="1"/>
      <c r="J986" s="1"/>
      <c r="L986" s="1"/>
      <c r="M986" s="1"/>
      <c r="O986" s="2"/>
      <c r="P986" s="2"/>
    </row>
    <row r="987" spans="1:16" x14ac:dyDescent="0.25">
      <c r="A987" s="2"/>
      <c r="B987" s="2"/>
      <c r="F987" s="1"/>
      <c r="G987" s="1"/>
      <c r="I987" s="1"/>
      <c r="J987" s="1"/>
      <c r="L987" s="1"/>
      <c r="M987" s="1"/>
      <c r="O987" s="2"/>
      <c r="P987" s="2"/>
    </row>
    <row r="988" spans="1:16" x14ac:dyDescent="0.25">
      <c r="A988" s="2"/>
      <c r="B988" s="2"/>
      <c r="F988" s="1"/>
      <c r="G988" s="1"/>
      <c r="I988" s="1"/>
      <c r="J988" s="1"/>
      <c r="L988" s="1"/>
      <c r="M988" s="1"/>
      <c r="O988" s="2"/>
      <c r="P988" s="2"/>
    </row>
    <row r="989" spans="1:16" x14ac:dyDescent="0.25">
      <c r="A989" s="2"/>
      <c r="B989" s="2"/>
      <c r="F989" s="1"/>
      <c r="G989" s="1"/>
      <c r="I989" s="1"/>
      <c r="J989" s="1"/>
      <c r="L989" s="1"/>
      <c r="M989" s="1"/>
      <c r="O989" s="2"/>
      <c r="P989" s="2"/>
    </row>
    <row r="990" spans="1:16" x14ac:dyDescent="0.25">
      <c r="A990" s="2"/>
      <c r="B990" s="2"/>
      <c r="F990" s="1"/>
      <c r="G990" s="1"/>
      <c r="I990" s="1"/>
      <c r="J990" s="1"/>
      <c r="L990" s="1"/>
      <c r="M990" s="1"/>
      <c r="O990" s="2"/>
      <c r="P990" s="2"/>
    </row>
    <row r="991" spans="1:16" x14ac:dyDescent="0.25">
      <c r="A991" s="2"/>
      <c r="B991" s="2"/>
      <c r="F991" s="1"/>
      <c r="G991" s="1"/>
      <c r="I991" s="1"/>
      <c r="J991" s="1"/>
      <c r="L991" s="1"/>
      <c r="M991" s="1"/>
      <c r="O991" s="2"/>
      <c r="P991" s="2"/>
    </row>
    <row r="992" spans="1:16" x14ac:dyDescent="0.25">
      <c r="A992" s="2"/>
      <c r="B992" s="2"/>
      <c r="F992" s="1"/>
      <c r="G992" s="1"/>
      <c r="I992" s="1"/>
      <c r="J992" s="1"/>
      <c r="L992" s="1"/>
      <c r="M992" s="1"/>
      <c r="O992" s="2"/>
      <c r="P992" s="2"/>
    </row>
    <row r="993" spans="1:16" x14ac:dyDescent="0.25">
      <c r="A993" s="2"/>
      <c r="B993" s="2"/>
      <c r="F993" s="1"/>
      <c r="G993" s="1"/>
      <c r="I993" s="1"/>
      <c r="J993" s="1"/>
      <c r="L993" s="1"/>
      <c r="M993" s="1"/>
      <c r="O993" s="2"/>
      <c r="P993" s="2"/>
    </row>
    <row r="994" spans="1:16" x14ac:dyDescent="0.25">
      <c r="A994" s="2"/>
      <c r="B994" s="2"/>
      <c r="F994" s="1"/>
      <c r="G994" s="1"/>
      <c r="I994" s="1"/>
      <c r="J994" s="1"/>
      <c r="L994" s="1"/>
      <c r="M994" s="1"/>
      <c r="O994" s="2"/>
      <c r="P994" s="2"/>
    </row>
    <row r="995" spans="1:16" x14ac:dyDescent="0.25">
      <c r="A995" s="2"/>
      <c r="B995" s="2"/>
      <c r="F995" s="1"/>
      <c r="G995" s="1"/>
      <c r="I995" s="1"/>
      <c r="J995" s="1"/>
      <c r="L995" s="1"/>
      <c r="M995" s="1"/>
      <c r="O995" s="2"/>
      <c r="P995" s="2"/>
    </row>
    <row r="996" spans="1:16" x14ac:dyDescent="0.25">
      <c r="A996" s="2"/>
      <c r="B996" s="2"/>
      <c r="F996" s="1"/>
      <c r="G996" s="1"/>
      <c r="I996" s="1"/>
      <c r="J996" s="1"/>
      <c r="L996" s="1"/>
      <c r="M996" s="1"/>
      <c r="O996" s="2"/>
      <c r="P996" s="2"/>
    </row>
    <row r="997" spans="1:16" x14ac:dyDescent="0.25">
      <c r="A997" s="2"/>
      <c r="B997" s="2"/>
      <c r="F997" s="1"/>
      <c r="G997" s="1"/>
      <c r="I997" s="1"/>
      <c r="J997" s="1"/>
      <c r="L997" s="1"/>
      <c r="M997" s="1"/>
      <c r="O997" s="2"/>
      <c r="P997" s="2"/>
    </row>
    <row r="998" spans="1:16" x14ac:dyDescent="0.25">
      <c r="A998" s="2"/>
      <c r="B998" s="2"/>
      <c r="F998" s="1"/>
      <c r="G998" s="1"/>
      <c r="I998" s="1"/>
      <c r="J998" s="1"/>
      <c r="L998" s="1"/>
      <c r="M998" s="1"/>
      <c r="O998" s="2"/>
      <c r="P998" s="2"/>
    </row>
    <row r="999" spans="1:16" x14ac:dyDescent="0.25">
      <c r="A999" s="2"/>
      <c r="B999" s="2"/>
      <c r="F999" s="1"/>
      <c r="G999" s="1"/>
      <c r="I999" s="1"/>
      <c r="J999" s="1"/>
      <c r="L999" s="1"/>
      <c r="M999" s="1"/>
      <c r="O999" s="2"/>
      <c r="P999" s="2"/>
    </row>
    <row r="1000" spans="1:16" x14ac:dyDescent="0.25">
      <c r="A1000" s="2"/>
      <c r="B1000" s="2"/>
      <c r="F1000" s="1"/>
      <c r="G1000" s="1"/>
      <c r="I1000" s="1"/>
      <c r="J1000" s="1"/>
      <c r="L1000" s="1"/>
      <c r="M1000" s="1"/>
      <c r="O1000" s="2"/>
      <c r="P1000" s="2"/>
    </row>
    <row r="1001" spans="1:16" x14ac:dyDescent="0.25">
      <c r="A1001" s="2"/>
      <c r="B1001" s="2"/>
      <c r="F1001" s="1"/>
      <c r="G1001" s="1"/>
      <c r="I1001" s="1"/>
      <c r="J1001" s="1"/>
      <c r="L1001" s="1"/>
      <c r="M1001" s="1"/>
      <c r="O1001" s="2"/>
      <c r="P1001" s="2"/>
    </row>
    <row r="1002" spans="1:16" x14ac:dyDescent="0.25">
      <c r="A1002" s="2"/>
      <c r="B1002" s="2"/>
      <c r="F1002" s="1"/>
      <c r="G1002" s="1"/>
      <c r="I1002" s="1"/>
      <c r="J1002" s="1"/>
      <c r="L1002" s="1"/>
      <c r="M1002" s="1"/>
      <c r="O1002" s="2"/>
      <c r="P1002" s="2"/>
    </row>
    <row r="1003" spans="1:16" x14ac:dyDescent="0.25">
      <c r="A1003" s="2"/>
      <c r="B1003" s="2"/>
      <c r="F1003" s="1"/>
      <c r="G1003" s="1"/>
      <c r="I1003" s="1"/>
      <c r="J1003" s="1"/>
      <c r="L1003" s="1"/>
      <c r="M1003" s="1"/>
      <c r="O1003" s="2"/>
      <c r="P1003" s="2"/>
    </row>
    <row r="1004" spans="1:16" x14ac:dyDescent="0.25">
      <c r="A1004" s="2"/>
      <c r="B1004" s="2"/>
      <c r="F1004" s="1"/>
      <c r="G1004" s="1"/>
      <c r="I1004" s="1"/>
      <c r="J1004" s="1"/>
      <c r="L1004" s="1"/>
      <c r="M1004" s="1"/>
      <c r="O1004" s="2"/>
      <c r="P1004" s="2"/>
    </row>
    <row r="1005" spans="1:16" x14ac:dyDescent="0.25">
      <c r="A1005" s="2"/>
      <c r="B1005" s="2"/>
      <c r="F1005" s="1"/>
      <c r="G1005" s="1"/>
      <c r="I1005" s="1"/>
      <c r="J1005" s="1"/>
      <c r="L1005" s="1"/>
      <c r="M1005" s="1"/>
      <c r="O1005" s="2"/>
      <c r="P1005" s="2"/>
    </row>
    <row r="1006" spans="1:16" x14ac:dyDescent="0.25">
      <c r="A1006" s="2"/>
      <c r="B1006" s="2"/>
      <c r="F1006" s="1"/>
      <c r="G1006" s="1"/>
      <c r="I1006" s="1"/>
      <c r="J1006" s="1"/>
      <c r="L1006" s="1"/>
      <c r="M1006" s="1"/>
      <c r="O1006" s="2"/>
      <c r="P1006" s="2"/>
    </row>
    <row r="1007" spans="1:16" x14ac:dyDescent="0.25">
      <c r="A1007" s="2"/>
      <c r="B1007" s="2"/>
      <c r="F1007" s="1"/>
      <c r="G1007" s="1"/>
      <c r="I1007" s="1"/>
      <c r="J1007" s="1"/>
      <c r="L1007" s="1"/>
      <c r="M1007" s="1"/>
      <c r="O1007" s="2"/>
      <c r="P1007" s="2"/>
    </row>
    <row r="1008" spans="1:16" x14ac:dyDescent="0.25">
      <c r="A1008" s="2"/>
      <c r="B1008" s="2"/>
      <c r="F1008" s="1"/>
      <c r="G1008" s="1"/>
      <c r="I1008" s="1"/>
      <c r="J1008" s="1"/>
      <c r="L1008" s="1"/>
      <c r="M1008" s="1"/>
      <c r="O1008" s="2"/>
      <c r="P1008" s="2"/>
    </row>
    <row r="1009" spans="1:16" x14ac:dyDescent="0.25">
      <c r="A1009" s="2"/>
      <c r="B1009" s="2"/>
      <c r="F1009" s="1"/>
      <c r="G1009" s="1"/>
      <c r="I1009" s="1"/>
      <c r="J1009" s="1"/>
      <c r="L1009" s="1"/>
      <c r="M1009" s="1"/>
      <c r="O1009" s="2"/>
      <c r="P1009" s="2"/>
    </row>
    <row r="1010" spans="1:16" x14ac:dyDescent="0.25">
      <c r="A1010" s="2"/>
      <c r="B1010" s="2"/>
      <c r="F1010" s="1"/>
      <c r="G1010" s="1"/>
      <c r="I1010" s="1"/>
      <c r="J1010" s="1"/>
      <c r="L1010" s="1"/>
      <c r="M1010" s="1"/>
      <c r="O1010" s="2"/>
      <c r="P1010" s="2"/>
    </row>
    <row r="1011" spans="1:16" x14ac:dyDescent="0.25">
      <c r="A1011" s="2"/>
      <c r="B1011" s="2"/>
      <c r="F1011" s="1"/>
      <c r="G1011" s="1"/>
      <c r="I1011" s="1"/>
      <c r="J1011" s="1"/>
      <c r="L1011" s="1"/>
      <c r="M1011" s="1"/>
      <c r="O1011" s="2"/>
      <c r="P1011" s="2"/>
    </row>
    <row r="1012" spans="1:16" x14ac:dyDescent="0.25">
      <c r="A1012" s="2"/>
      <c r="B1012" s="2"/>
      <c r="F1012" s="1"/>
      <c r="G1012" s="1"/>
      <c r="I1012" s="1"/>
      <c r="J1012" s="1"/>
      <c r="L1012" s="1"/>
      <c r="M1012" s="1"/>
      <c r="O1012" s="2"/>
      <c r="P1012" s="2"/>
    </row>
    <row r="1013" spans="1:16" x14ac:dyDescent="0.25">
      <c r="A1013" s="2"/>
      <c r="B1013" s="2"/>
      <c r="F1013" s="1"/>
      <c r="G1013" s="1"/>
      <c r="I1013" s="1"/>
      <c r="J1013" s="1"/>
      <c r="L1013" s="1"/>
      <c r="M1013" s="1"/>
      <c r="O1013" s="2"/>
      <c r="P1013" s="2"/>
    </row>
    <row r="1014" spans="1:16" x14ac:dyDescent="0.25">
      <c r="A1014" s="2"/>
      <c r="B1014" s="2"/>
      <c r="F1014" s="1"/>
      <c r="G1014" s="1"/>
      <c r="I1014" s="1"/>
      <c r="J1014" s="1"/>
      <c r="L1014" s="1"/>
      <c r="M1014" s="1"/>
      <c r="O1014" s="2"/>
      <c r="P1014" s="2"/>
    </row>
    <row r="1015" spans="1:16" x14ac:dyDescent="0.25">
      <c r="A1015" s="2"/>
      <c r="B1015" s="2"/>
      <c r="F1015" s="1"/>
      <c r="G1015" s="1"/>
      <c r="I1015" s="1"/>
      <c r="J1015" s="1"/>
      <c r="L1015" s="1"/>
      <c r="M1015" s="1"/>
      <c r="O1015" s="2"/>
      <c r="P1015" s="2"/>
    </row>
    <row r="1016" spans="1:16" x14ac:dyDescent="0.25">
      <c r="A1016" s="2"/>
      <c r="B1016" s="2"/>
      <c r="F1016" s="1"/>
      <c r="G1016" s="1"/>
      <c r="I1016" s="1"/>
      <c r="J1016" s="1"/>
      <c r="L1016" s="1"/>
      <c r="M1016" s="1"/>
      <c r="O1016" s="2"/>
      <c r="P1016" s="2"/>
    </row>
    <row r="1017" spans="1:16" x14ac:dyDescent="0.25">
      <c r="A1017" s="2"/>
      <c r="B1017" s="2"/>
      <c r="F1017" s="1"/>
      <c r="G1017" s="1"/>
      <c r="I1017" s="1"/>
      <c r="J1017" s="1"/>
      <c r="L1017" s="1"/>
      <c r="M1017" s="1"/>
      <c r="O1017" s="2"/>
      <c r="P1017" s="2"/>
    </row>
    <row r="1018" spans="1:16" x14ac:dyDescent="0.25">
      <c r="A1018" s="2"/>
      <c r="B1018" s="2"/>
      <c r="F1018" s="1"/>
      <c r="G1018" s="1"/>
      <c r="I1018" s="1"/>
      <c r="J1018" s="1"/>
      <c r="L1018" s="1"/>
      <c r="M1018" s="1"/>
      <c r="O1018" s="2"/>
      <c r="P1018" s="2"/>
    </row>
    <row r="1019" spans="1:16" x14ac:dyDescent="0.25">
      <c r="A1019" s="2"/>
      <c r="B1019" s="2"/>
      <c r="F1019" s="1"/>
      <c r="G1019" s="1"/>
      <c r="I1019" s="1"/>
      <c r="J1019" s="1"/>
      <c r="L1019" s="1"/>
      <c r="M1019" s="1"/>
      <c r="O1019" s="2"/>
      <c r="P1019" s="2"/>
    </row>
    <row r="1020" spans="1:16" x14ac:dyDescent="0.25">
      <c r="A1020" s="2"/>
      <c r="B1020" s="2"/>
      <c r="F1020" s="1"/>
      <c r="G1020" s="1"/>
      <c r="I1020" s="1"/>
      <c r="J1020" s="1"/>
      <c r="L1020" s="1"/>
      <c r="M1020" s="1"/>
      <c r="O1020" s="2"/>
      <c r="P1020" s="2"/>
    </row>
    <row r="1021" spans="1:16" x14ac:dyDescent="0.25">
      <c r="A1021" s="2"/>
      <c r="B1021" s="2"/>
      <c r="F1021" s="1"/>
      <c r="G1021" s="1"/>
      <c r="I1021" s="1"/>
      <c r="J1021" s="1"/>
      <c r="L1021" s="1"/>
      <c r="M1021" s="1"/>
      <c r="O1021" s="2"/>
      <c r="P1021" s="2"/>
    </row>
    <row r="1022" spans="1:16" x14ac:dyDescent="0.25">
      <c r="A1022" s="2"/>
      <c r="B1022" s="2"/>
      <c r="F1022" s="1"/>
      <c r="G1022" s="1"/>
      <c r="I1022" s="1"/>
      <c r="J1022" s="1"/>
      <c r="L1022" s="1"/>
      <c r="M1022" s="1"/>
      <c r="O1022" s="2"/>
      <c r="P1022" s="2"/>
    </row>
    <row r="1023" spans="1:16" x14ac:dyDescent="0.25">
      <c r="A1023" s="2"/>
      <c r="B1023" s="2"/>
      <c r="F1023" s="1"/>
      <c r="G1023" s="1"/>
      <c r="I1023" s="1"/>
      <c r="J1023" s="1"/>
      <c r="L1023" s="1"/>
      <c r="M1023" s="1"/>
      <c r="O1023" s="2"/>
      <c r="P1023" s="2"/>
    </row>
    <row r="1024" spans="1:16" x14ac:dyDescent="0.25">
      <c r="A1024" s="2"/>
      <c r="B1024" s="2"/>
      <c r="F1024" s="1"/>
      <c r="G1024" s="1"/>
      <c r="I1024" s="1"/>
      <c r="J1024" s="1"/>
      <c r="L1024" s="1"/>
      <c r="M1024" s="1"/>
      <c r="O1024" s="2"/>
      <c r="P1024" s="2"/>
    </row>
    <row r="1025" spans="1:16" x14ac:dyDescent="0.25">
      <c r="A1025" s="2"/>
      <c r="B1025" s="2"/>
      <c r="F1025" s="1"/>
      <c r="G1025" s="1"/>
      <c r="I1025" s="1"/>
      <c r="J1025" s="1"/>
      <c r="L1025" s="1"/>
      <c r="M1025" s="1"/>
      <c r="O1025" s="2"/>
      <c r="P1025" s="2"/>
    </row>
    <row r="1026" spans="1:16" x14ac:dyDescent="0.25">
      <c r="A1026" s="2"/>
      <c r="B1026" s="2"/>
      <c r="F1026" s="1"/>
      <c r="G1026" s="1"/>
      <c r="I1026" s="1"/>
      <c r="J1026" s="1"/>
      <c r="L1026" s="1"/>
      <c r="M1026" s="1"/>
      <c r="O1026" s="2"/>
      <c r="P1026" s="2"/>
    </row>
    <row r="1027" spans="1:16" x14ac:dyDescent="0.25">
      <c r="A1027" s="2"/>
      <c r="B1027" s="2"/>
      <c r="F1027" s="1"/>
      <c r="G1027" s="1"/>
      <c r="I1027" s="1"/>
      <c r="J1027" s="1"/>
      <c r="L1027" s="1"/>
      <c r="M1027" s="1"/>
      <c r="O1027" s="2"/>
      <c r="P1027" s="2"/>
    </row>
    <row r="1028" spans="1:16" x14ac:dyDescent="0.25">
      <c r="A1028" s="2"/>
      <c r="B1028" s="2"/>
      <c r="F1028" s="1"/>
      <c r="G1028" s="1"/>
      <c r="I1028" s="1"/>
      <c r="J1028" s="1"/>
      <c r="L1028" s="1"/>
      <c r="M1028" s="1"/>
      <c r="O1028" s="2"/>
      <c r="P1028" s="2"/>
    </row>
    <row r="1029" spans="1:16" x14ac:dyDescent="0.25">
      <c r="A1029" s="2"/>
      <c r="B1029" s="2"/>
      <c r="F1029" s="1"/>
      <c r="G1029" s="1"/>
      <c r="I1029" s="1"/>
      <c r="J1029" s="1"/>
      <c r="L1029" s="1"/>
      <c r="M1029" s="1"/>
      <c r="O1029" s="2"/>
      <c r="P1029" s="2"/>
    </row>
    <row r="1030" spans="1:16" x14ac:dyDescent="0.25">
      <c r="A1030" s="2"/>
      <c r="B1030" s="2"/>
      <c r="F1030" s="1"/>
      <c r="G1030" s="1"/>
      <c r="I1030" s="1"/>
      <c r="J1030" s="1"/>
      <c r="L1030" s="1"/>
      <c r="M1030" s="1"/>
      <c r="O1030" s="2"/>
      <c r="P1030" s="2"/>
    </row>
    <row r="1031" spans="1:16" x14ac:dyDescent="0.25">
      <c r="A1031" s="2"/>
      <c r="B1031" s="2"/>
      <c r="F1031" s="1"/>
      <c r="G1031" s="1"/>
      <c r="I1031" s="1"/>
      <c r="J1031" s="1"/>
      <c r="L1031" s="1"/>
      <c r="M1031" s="1"/>
      <c r="O1031" s="2"/>
      <c r="P1031" s="2"/>
    </row>
    <row r="1032" spans="1:16" x14ac:dyDescent="0.25">
      <c r="A1032" s="2"/>
      <c r="B1032" s="2"/>
      <c r="F1032" s="1"/>
      <c r="G1032" s="1"/>
      <c r="I1032" s="1"/>
      <c r="J1032" s="1"/>
      <c r="L1032" s="1"/>
      <c r="M1032" s="1"/>
      <c r="O1032" s="2"/>
      <c r="P1032" s="2"/>
    </row>
    <row r="1033" spans="1:16" x14ac:dyDescent="0.25">
      <c r="A1033" s="2"/>
      <c r="B1033" s="2"/>
      <c r="F1033" s="1"/>
      <c r="G1033" s="1"/>
      <c r="I1033" s="1"/>
      <c r="J1033" s="1"/>
      <c r="L1033" s="1"/>
      <c r="M1033" s="1"/>
      <c r="O1033" s="2"/>
      <c r="P1033" s="2"/>
    </row>
    <row r="1034" spans="1:16" x14ac:dyDescent="0.25">
      <c r="A1034" s="2"/>
      <c r="B1034" s="2"/>
      <c r="F1034" s="1"/>
      <c r="G1034" s="1"/>
      <c r="I1034" s="1"/>
      <c r="J1034" s="1"/>
      <c r="L1034" s="1"/>
      <c r="M1034" s="1"/>
      <c r="O1034" s="2"/>
      <c r="P1034" s="2"/>
    </row>
    <row r="1035" spans="1:16" x14ac:dyDescent="0.25">
      <c r="A1035" s="2"/>
      <c r="B1035" s="2"/>
      <c r="F1035" s="1"/>
      <c r="G1035" s="1"/>
      <c r="I1035" s="1"/>
      <c r="J1035" s="1"/>
      <c r="L1035" s="1"/>
      <c r="M1035" s="1"/>
      <c r="O1035" s="2"/>
      <c r="P1035" s="2"/>
    </row>
    <row r="1036" spans="1:16" x14ac:dyDescent="0.25">
      <c r="A1036" s="2"/>
      <c r="B1036" s="2"/>
      <c r="F1036" s="1"/>
      <c r="G1036" s="1"/>
      <c r="I1036" s="1"/>
      <c r="J1036" s="1"/>
      <c r="L1036" s="1"/>
      <c r="M1036" s="1"/>
      <c r="O1036" s="2"/>
      <c r="P1036" s="2"/>
    </row>
    <row r="1037" spans="1:16" x14ac:dyDescent="0.25">
      <c r="A1037" s="2"/>
      <c r="B1037" s="2"/>
      <c r="F1037" s="1"/>
      <c r="G1037" s="1"/>
      <c r="I1037" s="1"/>
      <c r="J1037" s="1"/>
      <c r="L1037" s="1"/>
      <c r="M1037" s="1"/>
      <c r="O1037" s="2"/>
      <c r="P1037" s="2"/>
    </row>
    <row r="1038" spans="1:16" x14ac:dyDescent="0.25">
      <c r="A1038" s="2"/>
      <c r="B1038" s="2"/>
      <c r="F1038" s="1"/>
      <c r="G1038" s="1"/>
      <c r="I1038" s="1"/>
      <c r="J1038" s="1"/>
      <c r="L1038" s="1"/>
      <c r="M1038" s="1"/>
      <c r="O1038" s="2"/>
      <c r="P1038" s="2"/>
    </row>
    <row r="1039" spans="1:16" x14ac:dyDescent="0.25">
      <c r="A1039" s="2"/>
      <c r="B1039" s="2"/>
      <c r="F1039" s="1"/>
      <c r="G1039" s="1"/>
      <c r="I1039" s="1"/>
      <c r="J1039" s="1"/>
      <c r="L1039" s="1"/>
      <c r="M1039" s="1"/>
      <c r="O1039" s="2"/>
      <c r="P1039" s="2"/>
    </row>
    <row r="1040" spans="1:16" x14ac:dyDescent="0.25">
      <c r="A1040" s="2"/>
      <c r="B1040" s="2"/>
      <c r="F1040" s="1"/>
      <c r="G1040" s="1"/>
      <c r="I1040" s="1"/>
      <c r="J1040" s="1"/>
      <c r="L1040" s="1"/>
      <c r="M1040" s="1"/>
      <c r="O1040" s="2"/>
      <c r="P1040" s="2"/>
    </row>
    <row r="1041" spans="1:16" x14ac:dyDescent="0.25">
      <c r="A1041" s="2"/>
      <c r="B1041" s="2"/>
      <c r="F1041" s="1"/>
      <c r="G1041" s="1"/>
      <c r="I1041" s="1"/>
      <c r="J1041" s="1"/>
      <c r="L1041" s="1"/>
      <c r="M1041" s="1"/>
      <c r="O1041" s="2"/>
      <c r="P1041" s="2"/>
    </row>
    <row r="1042" spans="1:16" x14ac:dyDescent="0.25">
      <c r="A1042" s="2"/>
      <c r="B1042" s="2"/>
      <c r="F1042" s="1"/>
      <c r="G1042" s="1"/>
      <c r="I1042" s="1"/>
      <c r="J1042" s="1"/>
      <c r="L1042" s="1"/>
      <c r="M1042" s="1"/>
      <c r="O1042" s="2"/>
      <c r="P1042" s="2"/>
    </row>
    <row r="1043" spans="1:16" x14ac:dyDescent="0.25">
      <c r="A1043" s="2"/>
      <c r="B1043" s="2"/>
      <c r="F1043" s="1"/>
      <c r="G1043" s="1"/>
      <c r="I1043" s="1"/>
      <c r="J1043" s="1"/>
      <c r="L1043" s="1"/>
      <c r="M1043" s="1"/>
      <c r="O1043" s="2"/>
      <c r="P1043" s="2"/>
    </row>
    <row r="1044" spans="1:16" x14ac:dyDescent="0.25">
      <c r="A1044" s="2"/>
      <c r="B1044" s="2"/>
      <c r="F1044" s="1"/>
      <c r="G1044" s="1"/>
      <c r="I1044" s="1"/>
      <c r="J1044" s="1"/>
      <c r="L1044" s="1"/>
      <c r="M1044" s="1"/>
      <c r="O1044" s="2"/>
      <c r="P1044" s="2"/>
    </row>
    <row r="1045" spans="1:16" x14ac:dyDescent="0.25">
      <c r="A1045" s="2"/>
      <c r="B1045" s="2"/>
      <c r="F1045" s="1"/>
      <c r="G1045" s="1"/>
      <c r="I1045" s="1"/>
      <c r="J1045" s="1"/>
      <c r="L1045" s="1"/>
      <c r="M1045" s="1"/>
      <c r="O1045" s="2"/>
      <c r="P1045" s="2"/>
    </row>
    <row r="1046" spans="1:16" x14ac:dyDescent="0.25">
      <c r="A1046" s="2"/>
      <c r="B1046" s="2"/>
      <c r="F1046" s="1"/>
      <c r="G1046" s="1"/>
      <c r="I1046" s="1"/>
      <c r="J1046" s="1"/>
      <c r="L1046" s="1"/>
      <c r="M1046" s="1"/>
      <c r="O1046" s="2"/>
      <c r="P1046" s="2"/>
    </row>
    <row r="1047" spans="1:16" x14ac:dyDescent="0.25">
      <c r="A1047" s="2"/>
      <c r="B1047" s="2"/>
      <c r="F1047" s="1"/>
      <c r="G1047" s="1"/>
      <c r="I1047" s="1"/>
      <c r="J1047" s="1"/>
      <c r="L1047" s="1"/>
      <c r="M1047" s="1"/>
      <c r="O1047" s="2"/>
      <c r="P1047" s="2"/>
    </row>
    <row r="1048" spans="1:16" x14ac:dyDescent="0.25">
      <c r="A1048" s="2"/>
      <c r="B1048" s="2"/>
      <c r="F1048" s="1"/>
      <c r="G1048" s="1"/>
      <c r="I1048" s="1"/>
      <c r="J1048" s="1"/>
      <c r="L1048" s="1"/>
      <c r="M1048" s="1"/>
      <c r="O1048" s="2"/>
      <c r="P1048" s="2"/>
    </row>
    <row r="1049" spans="1:16" x14ac:dyDescent="0.25">
      <c r="A1049" s="2"/>
      <c r="B1049" s="2"/>
      <c r="F1049" s="1"/>
      <c r="G1049" s="1"/>
      <c r="I1049" s="1"/>
      <c r="J1049" s="1"/>
      <c r="L1049" s="1"/>
      <c r="M1049" s="1"/>
      <c r="O1049" s="2"/>
      <c r="P1049" s="2"/>
    </row>
    <row r="1050" spans="1:16" x14ac:dyDescent="0.25">
      <c r="A1050" s="2"/>
      <c r="B1050" s="2"/>
      <c r="F1050" s="1"/>
      <c r="G1050" s="1"/>
      <c r="I1050" s="1"/>
      <c r="J1050" s="1"/>
      <c r="L1050" s="1"/>
      <c r="M1050" s="1"/>
      <c r="O1050" s="2"/>
      <c r="P1050" s="2"/>
    </row>
    <row r="1051" spans="1:16" x14ac:dyDescent="0.25">
      <c r="A1051" s="2"/>
      <c r="B1051" s="2"/>
      <c r="F1051" s="1"/>
      <c r="G1051" s="1"/>
      <c r="I1051" s="1"/>
      <c r="J1051" s="1"/>
      <c r="L1051" s="1"/>
      <c r="M1051" s="1"/>
      <c r="O1051" s="2"/>
      <c r="P1051" s="2"/>
    </row>
    <row r="1052" spans="1:16" x14ac:dyDescent="0.25">
      <c r="A1052" s="2"/>
      <c r="B1052" s="2"/>
      <c r="F1052" s="1"/>
      <c r="G1052" s="1"/>
      <c r="I1052" s="1"/>
      <c r="J1052" s="1"/>
      <c r="L1052" s="1"/>
      <c r="M1052" s="1"/>
      <c r="O1052" s="2"/>
      <c r="P1052" s="2"/>
    </row>
    <row r="1053" spans="1:16" x14ac:dyDescent="0.25">
      <c r="A1053" s="2"/>
      <c r="B1053" s="2"/>
      <c r="F1053" s="1"/>
      <c r="G1053" s="1"/>
      <c r="I1053" s="1"/>
      <c r="J1053" s="1"/>
      <c r="L1053" s="1"/>
      <c r="M1053" s="1"/>
      <c r="O1053" s="2"/>
      <c r="P1053" s="2"/>
    </row>
    <row r="1054" spans="1:16" x14ac:dyDescent="0.25">
      <c r="A1054" s="2"/>
      <c r="B1054" s="2"/>
      <c r="F1054" s="1"/>
      <c r="G1054" s="1"/>
      <c r="I1054" s="1"/>
      <c r="J1054" s="1"/>
      <c r="L1054" s="1"/>
      <c r="M1054" s="1"/>
      <c r="O1054" s="2"/>
      <c r="P1054" s="2"/>
    </row>
    <row r="1055" spans="1:16" x14ac:dyDescent="0.25">
      <c r="A1055" s="2"/>
      <c r="B1055" s="2"/>
      <c r="F1055" s="1"/>
      <c r="G1055" s="1"/>
      <c r="I1055" s="1"/>
      <c r="J1055" s="1"/>
      <c r="L1055" s="1"/>
      <c r="M1055" s="1"/>
      <c r="O1055" s="2"/>
      <c r="P1055" s="2"/>
    </row>
    <row r="1056" spans="1:16" x14ac:dyDescent="0.25">
      <c r="A1056" s="2"/>
      <c r="B1056" s="2"/>
      <c r="F1056" s="1"/>
      <c r="G1056" s="1"/>
      <c r="I1056" s="1"/>
      <c r="J1056" s="1"/>
      <c r="L1056" s="1"/>
      <c r="M1056" s="1"/>
      <c r="O1056" s="2"/>
      <c r="P1056" s="2"/>
    </row>
    <row r="1057" spans="1:16" x14ac:dyDescent="0.25">
      <c r="A1057" s="2"/>
      <c r="B1057" s="2"/>
      <c r="F1057" s="1"/>
      <c r="G1057" s="1"/>
      <c r="I1057" s="1"/>
      <c r="J1057" s="1"/>
      <c r="L1057" s="1"/>
      <c r="M1057" s="1"/>
      <c r="O1057" s="2"/>
      <c r="P1057" s="2"/>
    </row>
    <row r="1058" spans="1:16" x14ac:dyDescent="0.25">
      <c r="A1058" s="2"/>
      <c r="B1058" s="2"/>
      <c r="F1058" s="1"/>
      <c r="G1058" s="1"/>
      <c r="I1058" s="1"/>
      <c r="J1058" s="1"/>
      <c r="L1058" s="1"/>
      <c r="M1058" s="1"/>
      <c r="O1058" s="2"/>
      <c r="P1058" s="2"/>
    </row>
    <row r="1059" spans="1:16" x14ac:dyDescent="0.25">
      <c r="A1059" s="2"/>
      <c r="B1059" s="2"/>
      <c r="F1059" s="1"/>
      <c r="G1059" s="1"/>
      <c r="I1059" s="1"/>
      <c r="J1059" s="1"/>
      <c r="L1059" s="1"/>
      <c r="M1059" s="1"/>
      <c r="O1059" s="2"/>
      <c r="P1059" s="2"/>
    </row>
    <row r="1060" spans="1:16" x14ac:dyDescent="0.25">
      <c r="A1060" s="2"/>
      <c r="B1060" s="2"/>
      <c r="F1060" s="1"/>
      <c r="G1060" s="1"/>
      <c r="I1060" s="1"/>
      <c r="J1060" s="1"/>
      <c r="L1060" s="1"/>
      <c r="M1060" s="1"/>
      <c r="O1060" s="2"/>
      <c r="P1060" s="2"/>
    </row>
    <row r="1061" spans="1:16" x14ac:dyDescent="0.25">
      <c r="A1061" s="2"/>
      <c r="B1061" s="2"/>
      <c r="F1061" s="1"/>
      <c r="G1061" s="1"/>
      <c r="I1061" s="1"/>
      <c r="J1061" s="1"/>
      <c r="L1061" s="1"/>
      <c r="M1061" s="1"/>
      <c r="O1061" s="2"/>
      <c r="P1061" s="2"/>
    </row>
    <row r="1062" spans="1:16" x14ac:dyDescent="0.25">
      <c r="A1062" s="2"/>
      <c r="B1062" s="2"/>
      <c r="F1062" s="1"/>
      <c r="G1062" s="1"/>
      <c r="I1062" s="1"/>
      <c r="J1062" s="1"/>
      <c r="L1062" s="1"/>
      <c r="M1062" s="1"/>
      <c r="O1062" s="2"/>
      <c r="P1062" s="2"/>
    </row>
    <row r="1063" spans="1:16" x14ac:dyDescent="0.25">
      <c r="A1063" s="2"/>
      <c r="B1063" s="2"/>
      <c r="F1063" s="1"/>
      <c r="G1063" s="1"/>
      <c r="I1063" s="1"/>
      <c r="J1063" s="1"/>
      <c r="L1063" s="1"/>
      <c r="M1063" s="1"/>
      <c r="O1063" s="2"/>
      <c r="P1063" s="2"/>
    </row>
    <row r="1064" spans="1:16" x14ac:dyDescent="0.25">
      <c r="A1064" s="2"/>
      <c r="B1064" s="2"/>
      <c r="F1064" s="1"/>
      <c r="G1064" s="1"/>
      <c r="I1064" s="1"/>
      <c r="J1064" s="1"/>
      <c r="L1064" s="1"/>
      <c r="M1064" s="1"/>
      <c r="O1064" s="2"/>
      <c r="P1064" s="2"/>
    </row>
    <row r="1065" spans="1:16" x14ac:dyDescent="0.25">
      <c r="A1065" s="2"/>
      <c r="B1065" s="2"/>
      <c r="F1065" s="1"/>
      <c r="G1065" s="1"/>
      <c r="I1065" s="1"/>
      <c r="J1065" s="1"/>
      <c r="L1065" s="1"/>
      <c r="M1065" s="1"/>
      <c r="O1065" s="2"/>
      <c r="P1065" s="2"/>
    </row>
    <row r="1066" spans="1:16" x14ac:dyDescent="0.25">
      <c r="A1066" s="2"/>
      <c r="B1066" s="2"/>
      <c r="F1066" s="1"/>
      <c r="G1066" s="1"/>
      <c r="I1066" s="1"/>
      <c r="J1066" s="1"/>
      <c r="L1066" s="1"/>
      <c r="M1066" s="1"/>
      <c r="O1066" s="2"/>
      <c r="P1066" s="2"/>
    </row>
    <row r="1067" spans="1:16" x14ac:dyDescent="0.25">
      <c r="A1067" s="2"/>
      <c r="B1067" s="2"/>
      <c r="F1067" s="1"/>
      <c r="G1067" s="1"/>
      <c r="I1067" s="1"/>
      <c r="J1067" s="1"/>
      <c r="L1067" s="1"/>
      <c r="M1067" s="1"/>
      <c r="O1067" s="2"/>
      <c r="P1067" s="2"/>
    </row>
    <row r="1068" spans="1:16" x14ac:dyDescent="0.25">
      <c r="A1068" s="2"/>
      <c r="B1068" s="2"/>
      <c r="F1068" s="1"/>
      <c r="G1068" s="1"/>
      <c r="I1068" s="1"/>
      <c r="J1068" s="1"/>
      <c r="L1068" s="1"/>
      <c r="M1068" s="1"/>
      <c r="O1068" s="2"/>
      <c r="P1068" s="2"/>
    </row>
    <row r="1069" spans="1:16" x14ac:dyDescent="0.25">
      <c r="A1069" s="2"/>
      <c r="B1069" s="2"/>
      <c r="F1069" s="1"/>
      <c r="G1069" s="1"/>
      <c r="I1069" s="1"/>
      <c r="J1069" s="1"/>
      <c r="L1069" s="1"/>
      <c r="M1069" s="1"/>
      <c r="O1069" s="2"/>
      <c r="P1069" s="2"/>
    </row>
    <row r="1070" spans="1:16" x14ac:dyDescent="0.25">
      <c r="A1070" s="2"/>
      <c r="B1070" s="2"/>
      <c r="F1070" s="1"/>
      <c r="G1070" s="1"/>
      <c r="I1070" s="1"/>
      <c r="J1070" s="1"/>
      <c r="L1070" s="1"/>
      <c r="M1070" s="1"/>
      <c r="O1070" s="2"/>
      <c r="P1070" s="2"/>
    </row>
    <row r="1071" spans="1:16" x14ac:dyDescent="0.25">
      <c r="A1071" s="2"/>
      <c r="B1071" s="2"/>
      <c r="F1071" s="1"/>
      <c r="G1071" s="1"/>
      <c r="I1071" s="1"/>
      <c r="J1071" s="1"/>
      <c r="L1071" s="1"/>
      <c r="M1071" s="1"/>
      <c r="O1071" s="2"/>
      <c r="P1071" s="2"/>
    </row>
    <row r="1072" spans="1:16" x14ac:dyDescent="0.25">
      <c r="A1072" s="2"/>
      <c r="B1072" s="2"/>
      <c r="F1072" s="1"/>
      <c r="G1072" s="1"/>
      <c r="I1072" s="1"/>
      <c r="J1072" s="1"/>
      <c r="L1072" s="1"/>
      <c r="M1072" s="1"/>
      <c r="O1072" s="2"/>
      <c r="P1072" s="2"/>
    </row>
    <row r="1073" spans="1:16" x14ac:dyDescent="0.25">
      <c r="A1073" s="2"/>
      <c r="B1073" s="2"/>
      <c r="F1073" s="1"/>
      <c r="G1073" s="1"/>
      <c r="I1073" s="1"/>
      <c r="J1073" s="1"/>
      <c r="L1073" s="1"/>
      <c r="M1073" s="1"/>
      <c r="O1073" s="2"/>
      <c r="P1073" s="2"/>
    </row>
    <row r="1074" spans="1:16" x14ac:dyDescent="0.25">
      <c r="A1074" s="2"/>
      <c r="B1074" s="2"/>
      <c r="F1074" s="1"/>
      <c r="G1074" s="1"/>
      <c r="I1074" s="1"/>
      <c r="J1074" s="1"/>
      <c r="L1074" s="1"/>
      <c r="M1074" s="1"/>
      <c r="O1074" s="2"/>
      <c r="P1074" s="2"/>
    </row>
    <row r="1075" spans="1:16" x14ac:dyDescent="0.25">
      <c r="A1075" s="2"/>
      <c r="B1075" s="2"/>
      <c r="F1075" s="1"/>
      <c r="G1075" s="1"/>
      <c r="I1075" s="1"/>
      <c r="J1075" s="1"/>
      <c r="L1075" s="1"/>
      <c r="M1075" s="1"/>
      <c r="O1075" s="2"/>
      <c r="P1075" s="2"/>
    </row>
    <row r="1076" spans="1:16" x14ac:dyDescent="0.25">
      <c r="A1076" s="2"/>
      <c r="B1076" s="2"/>
      <c r="F1076" s="1"/>
      <c r="G1076" s="1"/>
      <c r="I1076" s="1"/>
      <c r="J1076" s="1"/>
      <c r="L1076" s="1"/>
      <c r="M1076" s="1"/>
      <c r="O1076" s="2"/>
      <c r="P1076" s="2"/>
    </row>
    <row r="1077" spans="1:16" x14ac:dyDescent="0.25">
      <c r="A1077" s="2"/>
      <c r="B1077" s="2"/>
      <c r="F1077" s="1"/>
      <c r="G1077" s="1"/>
      <c r="I1077" s="1"/>
      <c r="J1077" s="1"/>
      <c r="L1077" s="1"/>
      <c r="M1077" s="1"/>
      <c r="O1077" s="2"/>
      <c r="P1077" s="2"/>
    </row>
    <row r="1078" spans="1:16" x14ac:dyDescent="0.25">
      <c r="A1078" s="2"/>
      <c r="B1078" s="2"/>
      <c r="F1078" s="1"/>
      <c r="G1078" s="1"/>
      <c r="I1078" s="1"/>
      <c r="J1078" s="1"/>
      <c r="L1078" s="1"/>
      <c r="M1078" s="1"/>
      <c r="O1078" s="2"/>
      <c r="P1078" s="2"/>
    </row>
    <row r="1079" spans="1:16" x14ac:dyDescent="0.25">
      <c r="A1079" s="2"/>
      <c r="B1079" s="2"/>
      <c r="F1079" s="1"/>
      <c r="G1079" s="1"/>
      <c r="I1079" s="1"/>
      <c r="J1079" s="1"/>
      <c r="L1079" s="1"/>
      <c r="M1079" s="1"/>
      <c r="O1079" s="2"/>
      <c r="P1079" s="2"/>
    </row>
    <row r="1080" spans="1:16" x14ac:dyDescent="0.25">
      <c r="A1080" s="2"/>
      <c r="B1080" s="2"/>
      <c r="F1080" s="1"/>
      <c r="G1080" s="1"/>
      <c r="I1080" s="1"/>
      <c r="J1080" s="1"/>
      <c r="L1080" s="1"/>
      <c r="M1080" s="1"/>
      <c r="O1080" s="2"/>
      <c r="P1080" s="2"/>
    </row>
    <row r="1081" spans="1:16" x14ac:dyDescent="0.25">
      <c r="A1081" s="2"/>
      <c r="B1081" s="2"/>
      <c r="F1081" s="1"/>
      <c r="G1081" s="1"/>
      <c r="I1081" s="1"/>
      <c r="J1081" s="1"/>
      <c r="L1081" s="1"/>
      <c r="M1081" s="1"/>
      <c r="O1081" s="2"/>
      <c r="P1081" s="2"/>
    </row>
    <row r="1082" spans="1:16" x14ac:dyDescent="0.25">
      <c r="A1082" s="2"/>
      <c r="B1082" s="2"/>
      <c r="F1082" s="1"/>
      <c r="G1082" s="1"/>
      <c r="I1082" s="1"/>
      <c r="J1082" s="1"/>
      <c r="L1082" s="1"/>
      <c r="M1082" s="1"/>
      <c r="O1082" s="2"/>
      <c r="P1082" s="2"/>
    </row>
    <row r="1083" spans="1:16" x14ac:dyDescent="0.25">
      <c r="A1083" s="2"/>
      <c r="B1083" s="2"/>
      <c r="F1083" s="1"/>
      <c r="G1083" s="1"/>
      <c r="I1083" s="1"/>
      <c r="J1083" s="1"/>
      <c r="L1083" s="1"/>
      <c r="M1083" s="1"/>
      <c r="O1083" s="2"/>
      <c r="P1083" s="2"/>
    </row>
    <row r="1084" spans="1:16" x14ac:dyDescent="0.25">
      <c r="A1084" s="2"/>
      <c r="B1084" s="2"/>
      <c r="F1084" s="1"/>
      <c r="G1084" s="1"/>
      <c r="I1084" s="1"/>
      <c r="J1084" s="1"/>
      <c r="L1084" s="1"/>
      <c r="M1084" s="1"/>
      <c r="O1084" s="2"/>
      <c r="P1084" s="2"/>
    </row>
    <row r="1085" spans="1:16" x14ac:dyDescent="0.25">
      <c r="A1085" s="2"/>
      <c r="B1085" s="2"/>
      <c r="F1085" s="1"/>
      <c r="G1085" s="1"/>
      <c r="I1085" s="1"/>
      <c r="J1085" s="1"/>
      <c r="L1085" s="1"/>
      <c r="M1085" s="1"/>
      <c r="O1085" s="2"/>
      <c r="P1085" s="2"/>
    </row>
    <row r="1086" spans="1:16" x14ac:dyDescent="0.25">
      <c r="A1086" s="2"/>
      <c r="B1086" s="2"/>
      <c r="F1086" s="1"/>
      <c r="G1086" s="1"/>
      <c r="I1086" s="1"/>
      <c r="J1086" s="1"/>
      <c r="L1086" s="1"/>
      <c r="M1086" s="1"/>
      <c r="O1086" s="2"/>
      <c r="P1086" s="2"/>
    </row>
    <row r="1087" spans="1:16" x14ac:dyDescent="0.25">
      <c r="A1087" s="2"/>
      <c r="B1087" s="2"/>
      <c r="F1087" s="1"/>
      <c r="G1087" s="1"/>
      <c r="I1087" s="1"/>
      <c r="J1087" s="1"/>
      <c r="L1087" s="1"/>
      <c r="M1087" s="1"/>
      <c r="O1087" s="2"/>
      <c r="P1087" s="2"/>
    </row>
    <row r="1088" spans="1:16" x14ac:dyDescent="0.25">
      <c r="A1088" s="2"/>
      <c r="B1088" s="2"/>
      <c r="F1088" s="1"/>
      <c r="G1088" s="1"/>
      <c r="I1088" s="1"/>
      <c r="J1088" s="1"/>
      <c r="L1088" s="1"/>
      <c r="M1088" s="1"/>
      <c r="O1088" s="2"/>
      <c r="P1088" s="2"/>
    </row>
    <row r="1089" spans="1:16" x14ac:dyDescent="0.25">
      <c r="A1089" s="2"/>
      <c r="B1089" s="2"/>
      <c r="F1089" s="1"/>
      <c r="G1089" s="1"/>
      <c r="I1089" s="1"/>
      <c r="J1089" s="1"/>
      <c r="L1089" s="1"/>
      <c r="M1089" s="1"/>
      <c r="O1089" s="2"/>
      <c r="P1089" s="2"/>
    </row>
    <row r="1090" spans="1:16" x14ac:dyDescent="0.25">
      <c r="A1090" s="2"/>
      <c r="B1090" s="2"/>
      <c r="F1090" s="1"/>
      <c r="G1090" s="1"/>
      <c r="I1090" s="1"/>
      <c r="J1090" s="1"/>
      <c r="L1090" s="1"/>
      <c r="M1090" s="1"/>
      <c r="O1090" s="2"/>
      <c r="P1090" s="2"/>
    </row>
    <row r="1091" spans="1:16" x14ac:dyDescent="0.25">
      <c r="A1091" s="2"/>
      <c r="B1091" s="2"/>
      <c r="F1091" s="1"/>
      <c r="G1091" s="1"/>
      <c r="I1091" s="1"/>
      <c r="J1091" s="1"/>
      <c r="L1091" s="1"/>
      <c r="M1091" s="1"/>
      <c r="O1091" s="2"/>
      <c r="P1091" s="2"/>
    </row>
    <row r="1092" spans="1:16" x14ac:dyDescent="0.25">
      <c r="A1092" s="2"/>
      <c r="B1092" s="2"/>
      <c r="F1092" s="1"/>
      <c r="G1092" s="1"/>
      <c r="I1092" s="1"/>
      <c r="J1092" s="1"/>
      <c r="L1092" s="1"/>
      <c r="M1092" s="1"/>
      <c r="O1092" s="2"/>
      <c r="P1092" s="2"/>
    </row>
    <row r="1093" spans="1:16" x14ac:dyDescent="0.25">
      <c r="A1093" s="2"/>
      <c r="B1093" s="2"/>
      <c r="F1093" s="1"/>
      <c r="G1093" s="1"/>
      <c r="I1093" s="1"/>
      <c r="J1093" s="1"/>
      <c r="L1093" s="1"/>
      <c r="M1093" s="1"/>
      <c r="O1093" s="2"/>
      <c r="P1093" s="2"/>
    </row>
    <row r="1094" spans="1:16" x14ac:dyDescent="0.25">
      <c r="A1094" s="2"/>
      <c r="B1094" s="2"/>
      <c r="F1094" s="1"/>
      <c r="G1094" s="1"/>
      <c r="I1094" s="1"/>
      <c r="J1094" s="1"/>
      <c r="L1094" s="1"/>
      <c r="M1094" s="1"/>
      <c r="O1094" s="2"/>
      <c r="P1094" s="2"/>
    </row>
    <row r="1095" spans="1:16" x14ac:dyDescent="0.25">
      <c r="A1095" s="2"/>
      <c r="B1095" s="2"/>
      <c r="F1095" s="1"/>
      <c r="G1095" s="1"/>
      <c r="I1095" s="1"/>
      <c r="J1095" s="1"/>
      <c r="L1095" s="1"/>
      <c r="M1095" s="1"/>
      <c r="O1095" s="2"/>
      <c r="P1095" s="2"/>
    </row>
    <row r="1096" spans="1:16" x14ac:dyDescent="0.25">
      <c r="A1096" s="2"/>
      <c r="B1096" s="2"/>
      <c r="F1096" s="1"/>
      <c r="G1096" s="1"/>
      <c r="I1096" s="1"/>
      <c r="J1096" s="1"/>
      <c r="L1096" s="1"/>
      <c r="M1096" s="1"/>
      <c r="O1096" s="2"/>
      <c r="P1096" s="2"/>
    </row>
    <row r="1097" spans="1:16" x14ac:dyDescent="0.25">
      <c r="A1097" s="2"/>
      <c r="B1097" s="2"/>
      <c r="F1097" s="1"/>
      <c r="G1097" s="1"/>
      <c r="I1097" s="1"/>
      <c r="J1097" s="1"/>
      <c r="L1097" s="1"/>
      <c r="M1097" s="1"/>
      <c r="O1097" s="2"/>
      <c r="P1097" s="2"/>
    </row>
    <row r="1098" spans="1:16" x14ac:dyDescent="0.25">
      <c r="A1098" s="2"/>
      <c r="B1098" s="2"/>
      <c r="F1098" s="1"/>
      <c r="G1098" s="1"/>
      <c r="I1098" s="1"/>
      <c r="J1098" s="1"/>
      <c r="L1098" s="1"/>
      <c r="M1098" s="1"/>
      <c r="O1098" s="2"/>
      <c r="P1098" s="2"/>
    </row>
    <row r="1099" spans="1:16" x14ac:dyDescent="0.25">
      <c r="A1099" s="2"/>
      <c r="B1099" s="2"/>
      <c r="F1099" s="1"/>
      <c r="G1099" s="1"/>
      <c r="I1099" s="1"/>
      <c r="J1099" s="1"/>
      <c r="L1099" s="1"/>
      <c r="M1099" s="1"/>
      <c r="O1099" s="2"/>
      <c r="P1099" s="2"/>
    </row>
    <row r="1100" spans="1:16" x14ac:dyDescent="0.25">
      <c r="A1100" s="2"/>
      <c r="B1100" s="2"/>
      <c r="F1100" s="1"/>
      <c r="G1100" s="1"/>
      <c r="I1100" s="1"/>
      <c r="J1100" s="1"/>
      <c r="L1100" s="1"/>
      <c r="M1100" s="1"/>
      <c r="O1100" s="2"/>
      <c r="P1100" s="2"/>
    </row>
    <row r="1101" spans="1:16" x14ac:dyDescent="0.25">
      <c r="A1101" s="2"/>
      <c r="B1101" s="2"/>
      <c r="F1101" s="1"/>
      <c r="G1101" s="1"/>
      <c r="I1101" s="1"/>
      <c r="J1101" s="1"/>
      <c r="L1101" s="1"/>
      <c r="M1101" s="1"/>
      <c r="O1101" s="2"/>
      <c r="P1101" s="2"/>
    </row>
    <row r="1102" spans="1:16" x14ac:dyDescent="0.25">
      <c r="A1102" s="2"/>
      <c r="B1102" s="2"/>
      <c r="F1102" s="1"/>
      <c r="G1102" s="1"/>
      <c r="I1102" s="1"/>
      <c r="J1102" s="1"/>
      <c r="L1102" s="1"/>
      <c r="M1102" s="1"/>
      <c r="O1102" s="2"/>
      <c r="P1102" s="2"/>
    </row>
    <row r="1103" spans="1:16" x14ac:dyDescent="0.25">
      <c r="A1103" s="2"/>
      <c r="B1103" s="2"/>
      <c r="F1103" s="1"/>
      <c r="G1103" s="1"/>
      <c r="I1103" s="1"/>
      <c r="J1103" s="1"/>
      <c r="L1103" s="1"/>
      <c r="M1103" s="1"/>
      <c r="O1103" s="2"/>
      <c r="P1103" s="2"/>
    </row>
    <row r="1104" spans="1:16" x14ac:dyDescent="0.25">
      <c r="A1104" s="2"/>
      <c r="B1104" s="2"/>
      <c r="F1104" s="1"/>
      <c r="G1104" s="1"/>
      <c r="I1104" s="1"/>
      <c r="J1104" s="1"/>
      <c r="L1104" s="1"/>
      <c r="M1104" s="1"/>
      <c r="O1104" s="2"/>
      <c r="P1104" s="2"/>
    </row>
    <row r="1105" spans="1:16" x14ac:dyDescent="0.25">
      <c r="A1105" s="2"/>
      <c r="B1105" s="2"/>
      <c r="F1105" s="1"/>
      <c r="G1105" s="1"/>
      <c r="I1105" s="1"/>
      <c r="J1105" s="1"/>
      <c r="L1105" s="1"/>
      <c r="M1105" s="1"/>
      <c r="O1105" s="2"/>
      <c r="P1105" s="2"/>
    </row>
    <row r="1106" spans="1:16" x14ac:dyDescent="0.25">
      <c r="A1106" s="2"/>
      <c r="B1106" s="2"/>
      <c r="F1106" s="1"/>
      <c r="G1106" s="1"/>
      <c r="I1106" s="1"/>
      <c r="J1106" s="1"/>
      <c r="L1106" s="1"/>
      <c r="M1106" s="1"/>
      <c r="O1106" s="2"/>
      <c r="P1106" s="2"/>
    </row>
    <row r="1107" spans="1:16" x14ac:dyDescent="0.25">
      <c r="A1107" s="2"/>
      <c r="B1107" s="2"/>
      <c r="F1107" s="1"/>
      <c r="G1107" s="1"/>
      <c r="I1107" s="1"/>
      <c r="J1107" s="1"/>
      <c r="L1107" s="1"/>
      <c r="M1107" s="1"/>
      <c r="O1107" s="2"/>
      <c r="P1107" s="2"/>
    </row>
    <row r="1108" spans="1:16" x14ac:dyDescent="0.25">
      <c r="A1108" s="2"/>
      <c r="B1108" s="2"/>
      <c r="F1108" s="1"/>
      <c r="G1108" s="1"/>
      <c r="I1108" s="1"/>
      <c r="J1108" s="1"/>
      <c r="L1108" s="1"/>
      <c r="M1108" s="1"/>
      <c r="O1108" s="2"/>
      <c r="P1108" s="2"/>
    </row>
    <row r="1109" spans="1:16" x14ac:dyDescent="0.25">
      <c r="A1109" s="2"/>
      <c r="B1109" s="2"/>
      <c r="F1109" s="1"/>
      <c r="G1109" s="1"/>
      <c r="I1109" s="1"/>
      <c r="J1109" s="1"/>
      <c r="L1109" s="1"/>
      <c r="M1109" s="1"/>
      <c r="O1109" s="2"/>
      <c r="P1109" s="2"/>
    </row>
    <row r="1110" spans="1:16" x14ac:dyDescent="0.25">
      <c r="A1110" s="2"/>
      <c r="B1110" s="2"/>
      <c r="F1110" s="1"/>
      <c r="G1110" s="1"/>
      <c r="I1110" s="1"/>
      <c r="J1110" s="1"/>
      <c r="L1110" s="1"/>
      <c r="M1110" s="1"/>
      <c r="O1110" s="2"/>
      <c r="P1110" s="2"/>
    </row>
    <row r="1111" spans="1:16" x14ac:dyDescent="0.25">
      <c r="A1111" s="2"/>
      <c r="B1111" s="2"/>
      <c r="F1111" s="1"/>
      <c r="G1111" s="1"/>
      <c r="I1111" s="1"/>
      <c r="J1111" s="1"/>
      <c r="L1111" s="1"/>
      <c r="M1111" s="1"/>
      <c r="O1111" s="2"/>
      <c r="P1111" s="2"/>
    </row>
    <row r="1112" spans="1:16" x14ac:dyDescent="0.25">
      <c r="A1112" s="2"/>
      <c r="B1112" s="2"/>
      <c r="F1112" s="1"/>
      <c r="G1112" s="1"/>
      <c r="I1112" s="1"/>
      <c r="J1112" s="1"/>
      <c r="L1112" s="1"/>
      <c r="M1112" s="1"/>
      <c r="O1112" s="2"/>
      <c r="P1112" s="2"/>
    </row>
    <row r="1113" spans="1:16" x14ac:dyDescent="0.25">
      <c r="A1113" s="2"/>
      <c r="B1113" s="2"/>
      <c r="F1113" s="1"/>
      <c r="G1113" s="1"/>
      <c r="I1113" s="1"/>
      <c r="J1113" s="1"/>
      <c r="L1113" s="1"/>
      <c r="M1113" s="1"/>
      <c r="O1113" s="2"/>
      <c r="P1113" s="2"/>
    </row>
    <row r="1114" spans="1:16" x14ac:dyDescent="0.25">
      <c r="A1114" s="2"/>
      <c r="B1114" s="2"/>
      <c r="F1114" s="1"/>
      <c r="G1114" s="1"/>
      <c r="I1114" s="1"/>
      <c r="J1114" s="1"/>
      <c r="L1114" s="1"/>
      <c r="M1114" s="1"/>
      <c r="O1114" s="2"/>
      <c r="P1114" s="2"/>
    </row>
    <row r="1115" spans="1:16" x14ac:dyDescent="0.25">
      <c r="A1115" s="2"/>
      <c r="B1115" s="2"/>
      <c r="F1115" s="1"/>
      <c r="G1115" s="1"/>
      <c r="I1115" s="1"/>
      <c r="J1115" s="1"/>
      <c r="L1115" s="1"/>
      <c r="M1115" s="1"/>
      <c r="O1115" s="2"/>
      <c r="P1115" s="2"/>
    </row>
    <row r="1116" spans="1:16" x14ac:dyDescent="0.25">
      <c r="A1116" s="2"/>
      <c r="B1116" s="2"/>
      <c r="F1116" s="1"/>
      <c r="G1116" s="1"/>
      <c r="I1116" s="1"/>
      <c r="J1116" s="1"/>
      <c r="L1116" s="1"/>
      <c r="M1116" s="1"/>
      <c r="O1116" s="2"/>
      <c r="P1116" s="2"/>
    </row>
    <row r="1117" spans="1:16" x14ac:dyDescent="0.25">
      <c r="A1117" s="2"/>
      <c r="B1117" s="2"/>
      <c r="F1117" s="1"/>
      <c r="G1117" s="1"/>
      <c r="I1117" s="1"/>
      <c r="J1117" s="1"/>
      <c r="L1117" s="1"/>
      <c r="M1117" s="1"/>
      <c r="O1117" s="2"/>
      <c r="P1117" s="2"/>
    </row>
    <row r="1118" spans="1:16" x14ac:dyDescent="0.25">
      <c r="A1118" s="2"/>
      <c r="B1118" s="2"/>
      <c r="F1118" s="1"/>
      <c r="G1118" s="1"/>
      <c r="I1118" s="1"/>
      <c r="J1118" s="1"/>
      <c r="L1118" s="1"/>
      <c r="M1118" s="1"/>
      <c r="O1118" s="2"/>
      <c r="P1118" s="2"/>
    </row>
    <row r="1119" spans="1:16" x14ac:dyDescent="0.25">
      <c r="A1119" s="2"/>
      <c r="B1119" s="2"/>
      <c r="F1119" s="1"/>
      <c r="G1119" s="1"/>
      <c r="I1119" s="1"/>
      <c r="J1119" s="1"/>
      <c r="L1119" s="1"/>
      <c r="M1119" s="1"/>
      <c r="O1119" s="2"/>
      <c r="P1119" s="2"/>
    </row>
    <row r="1120" spans="1:16" x14ac:dyDescent="0.25">
      <c r="A1120" s="2"/>
      <c r="B1120" s="2"/>
      <c r="F1120" s="1"/>
      <c r="G1120" s="1"/>
      <c r="I1120" s="1"/>
      <c r="J1120" s="1"/>
      <c r="L1120" s="1"/>
      <c r="M1120" s="1"/>
      <c r="O1120" s="2"/>
      <c r="P1120" s="2"/>
    </row>
    <row r="1121" spans="1:16" x14ac:dyDescent="0.25">
      <c r="A1121" s="2"/>
      <c r="B1121" s="2"/>
      <c r="F1121" s="1"/>
      <c r="G1121" s="1"/>
      <c r="I1121" s="1"/>
      <c r="J1121" s="1"/>
      <c r="L1121" s="1"/>
      <c r="M1121" s="1"/>
      <c r="O1121" s="2"/>
      <c r="P1121" s="2"/>
    </row>
    <row r="1122" spans="1:16" x14ac:dyDescent="0.25">
      <c r="A1122" s="2"/>
      <c r="B1122" s="2"/>
      <c r="F1122" s="1"/>
      <c r="G1122" s="1"/>
      <c r="I1122" s="1"/>
      <c r="J1122" s="1"/>
      <c r="L1122" s="1"/>
      <c r="M1122" s="1"/>
      <c r="O1122" s="2"/>
      <c r="P1122" s="2"/>
    </row>
    <row r="1123" spans="1:16" x14ac:dyDescent="0.25">
      <c r="A1123" s="2"/>
      <c r="B1123" s="2"/>
      <c r="F1123" s="1"/>
      <c r="G1123" s="1"/>
      <c r="I1123" s="1"/>
      <c r="J1123" s="1"/>
      <c r="L1123" s="1"/>
      <c r="M1123" s="1"/>
      <c r="O1123" s="2"/>
      <c r="P1123" s="2"/>
    </row>
    <row r="1124" spans="1:16" x14ac:dyDescent="0.25">
      <c r="A1124" s="2"/>
      <c r="B1124" s="2"/>
      <c r="F1124" s="1"/>
      <c r="G1124" s="1"/>
      <c r="I1124" s="1"/>
      <c r="J1124" s="1"/>
      <c r="L1124" s="1"/>
      <c r="M1124" s="1"/>
      <c r="O1124" s="2"/>
      <c r="P1124" s="2"/>
    </row>
    <row r="1125" spans="1:16" x14ac:dyDescent="0.25">
      <c r="A1125" s="2"/>
      <c r="B1125" s="2"/>
      <c r="F1125" s="1"/>
      <c r="G1125" s="1"/>
      <c r="I1125" s="1"/>
      <c r="J1125" s="1"/>
      <c r="L1125" s="1"/>
      <c r="M1125" s="1"/>
      <c r="O1125" s="2"/>
      <c r="P1125" s="2"/>
    </row>
    <row r="1126" spans="1:16" x14ac:dyDescent="0.25">
      <c r="A1126" s="2"/>
      <c r="B1126" s="2"/>
      <c r="F1126" s="1"/>
      <c r="G1126" s="1"/>
      <c r="I1126" s="1"/>
      <c r="J1126" s="1"/>
      <c r="L1126" s="1"/>
      <c r="M1126" s="1"/>
      <c r="O1126" s="2"/>
      <c r="P1126" s="2"/>
    </row>
    <row r="1127" spans="1:16" x14ac:dyDescent="0.25">
      <c r="A1127" s="2"/>
      <c r="B1127" s="2"/>
      <c r="F1127" s="1"/>
      <c r="G1127" s="1"/>
      <c r="I1127" s="1"/>
      <c r="J1127" s="1"/>
      <c r="L1127" s="1"/>
      <c r="M1127" s="1"/>
      <c r="O1127" s="2"/>
      <c r="P1127" s="2"/>
    </row>
    <row r="1128" spans="1:16" x14ac:dyDescent="0.25">
      <c r="A1128" s="2"/>
      <c r="B1128" s="2"/>
      <c r="F1128" s="1"/>
      <c r="G1128" s="1"/>
      <c r="I1128" s="1"/>
      <c r="J1128" s="1"/>
      <c r="L1128" s="1"/>
      <c r="M1128" s="1"/>
      <c r="O1128" s="2"/>
      <c r="P1128" s="2"/>
    </row>
    <row r="1129" spans="1:16" x14ac:dyDescent="0.25">
      <c r="A1129" s="2"/>
      <c r="B1129" s="2"/>
      <c r="F1129" s="1"/>
      <c r="G1129" s="1"/>
      <c r="I1129" s="1"/>
      <c r="J1129" s="1"/>
      <c r="L1129" s="1"/>
      <c r="M1129" s="1"/>
      <c r="O1129" s="2"/>
      <c r="P1129" s="2"/>
    </row>
    <row r="1130" spans="1:16" x14ac:dyDescent="0.25">
      <c r="A1130" s="2"/>
      <c r="B1130" s="2"/>
      <c r="F1130" s="1"/>
      <c r="G1130" s="1"/>
      <c r="I1130" s="1"/>
      <c r="J1130" s="1"/>
      <c r="L1130" s="1"/>
      <c r="M1130" s="1"/>
      <c r="O1130" s="2"/>
      <c r="P1130" s="2"/>
    </row>
    <row r="1131" spans="1:16" x14ac:dyDescent="0.25">
      <c r="A1131" s="2"/>
      <c r="B1131" s="2"/>
      <c r="F1131" s="1"/>
      <c r="G1131" s="1"/>
      <c r="I1131" s="1"/>
      <c r="J1131" s="1"/>
      <c r="L1131" s="1"/>
      <c r="M1131" s="1"/>
      <c r="O1131" s="2"/>
      <c r="P1131" s="2"/>
    </row>
    <row r="1132" spans="1:16" x14ac:dyDescent="0.25">
      <c r="A1132" s="2"/>
      <c r="B1132" s="2"/>
      <c r="F1132" s="1"/>
      <c r="G1132" s="1"/>
      <c r="I1132" s="1"/>
      <c r="J1132" s="1"/>
      <c r="L1132" s="1"/>
      <c r="M1132" s="1"/>
      <c r="O1132" s="2"/>
      <c r="P1132" s="2"/>
    </row>
    <row r="1133" spans="1:16" x14ac:dyDescent="0.25">
      <c r="A1133" s="2"/>
      <c r="B1133" s="2"/>
      <c r="F1133" s="1"/>
      <c r="G1133" s="1"/>
      <c r="I1133" s="1"/>
      <c r="J1133" s="1"/>
      <c r="L1133" s="1"/>
      <c r="M1133" s="1"/>
      <c r="O1133" s="2"/>
      <c r="P1133" s="2"/>
    </row>
    <row r="1134" spans="1:16" x14ac:dyDescent="0.25">
      <c r="A1134" s="2"/>
      <c r="B1134" s="2"/>
      <c r="F1134" s="1"/>
      <c r="G1134" s="1"/>
      <c r="I1134" s="1"/>
      <c r="J1134" s="1"/>
      <c r="L1134" s="1"/>
      <c r="M1134" s="1"/>
      <c r="O1134" s="2"/>
      <c r="P1134" s="2"/>
    </row>
    <row r="1135" spans="1:16" x14ac:dyDescent="0.25">
      <c r="A1135" s="2"/>
      <c r="B1135" s="2"/>
      <c r="F1135" s="1"/>
      <c r="G1135" s="1"/>
      <c r="I1135" s="1"/>
      <c r="J1135" s="1"/>
      <c r="L1135" s="1"/>
      <c r="M1135" s="1"/>
      <c r="O1135" s="2"/>
      <c r="P1135" s="2"/>
    </row>
    <row r="1136" spans="1:16" x14ac:dyDescent="0.25">
      <c r="A1136" s="2"/>
      <c r="B1136" s="2"/>
      <c r="F1136" s="1"/>
      <c r="G1136" s="1"/>
      <c r="I1136" s="1"/>
      <c r="J1136" s="1"/>
      <c r="L1136" s="1"/>
      <c r="M1136" s="1"/>
      <c r="O1136" s="2"/>
      <c r="P1136" s="2"/>
    </row>
    <row r="1137" spans="1:16" x14ac:dyDescent="0.25">
      <c r="A1137" s="2"/>
      <c r="B1137" s="2"/>
      <c r="F1137" s="1"/>
      <c r="G1137" s="1"/>
      <c r="I1137" s="1"/>
      <c r="J1137" s="1"/>
      <c r="L1137" s="1"/>
      <c r="M1137" s="1"/>
      <c r="O1137" s="2"/>
      <c r="P1137" s="2"/>
    </row>
    <row r="1138" spans="1:16" x14ac:dyDescent="0.25">
      <c r="A1138" s="2"/>
      <c r="B1138" s="2"/>
      <c r="F1138" s="1"/>
      <c r="G1138" s="1"/>
      <c r="I1138" s="1"/>
      <c r="J1138" s="1"/>
      <c r="L1138" s="1"/>
      <c r="M1138" s="1"/>
      <c r="O1138" s="2"/>
      <c r="P1138" s="2"/>
    </row>
    <row r="1139" spans="1:16" x14ac:dyDescent="0.25">
      <c r="A1139" s="2"/>
      <c r="B1139" s="2"/>
      <c r="F1139" s="1"/>
      <c r="G1139" s="1"/>
      <c r="I1139" s="1"/>
      <c r="J1139" s="1"/>
      <c r="L1139" s="1"/>
      <c r="M1139" s="1"/>
      <c r="O1139" s="2"/>
      <c r="P1139" s="2"/>
    </row>
    <row r="1140" spans="1:16" x14ac:dyDescent="0.25">
      <c r="A1140" s="2"/>
      <c r="B1140" s="2"/>
      <c r="F1140" s="1"/>
      <c r="G1140" s="1"/>
      <c r="I1140" s="1"/>
      <c r="J1140" s="1"/>
      <c r="L1140" s="1"/>
      <c r="M1140" s="1"/>
      <c r="O1140" s="2"/>
      <c r="P1140" s="2"/>
    </row>
    <row r="1141" spans="1:16" x14ac:dyDescent="0.25">
      <c r="A1141" s="2"/>
      <c r="B1141" s="2"/>
      <c r="F1141" s="1"/>
      <c r="G1141" s="1"/>
      <c r="I1141" s="1"/>
      <c r="J1141" s="1"/>
      <c r="L1141" s="1"/>
      <c r="M1141" s="1"/>
      <c r="O1141" s="2"/>
      <c r="P1141" s="2"/>
    </row>
    <row r="1142" spans="1:16" x14ac:dyDescent="0.25">
      <c r="A1142" s="2"/>
      <c r="B1142" s="2"/>
      <c r="F1142" s="1"/>
      <c r="G1142" s="1"/>
      <c r="I1142" s="1"/>
      <c r="J1142" s="1"/>
      <c r="L1142" s="1"/>
      <c r="M1142" s="1"/>
      <c r="O1142" s="2"/>
      <c r="P1142" s="2"/>
    </row>
    <row r="1143" spans="1:16" x14ac:dyDescent="0.25">
      <c r="A1143" s="2"/>
      <c r="B1143" s="2"/>
      <c r="F1143" s="1"/>
      <c r="G1143" s="1"/>
      <c r="I1143" s="1"/>
      <c r="J1143" s="1"/>
      <c r="L1143" s="1"/>
      <c r="M1143" s="1"/>
      <c r="O1143" s="2"/>
      <c r="P1143" s="2"/>
    </row>
    <row r="1144" spans="1:16" x14ac:dyDescent="0.25">
      <c r="A1144" s="2"/>
      <c r="B1144" s="2"/>
      <c r="F1144" s="1"/>
      <c r="G1144" s="1"/>
      <c r="I1144" s="1"/>
      <c r="J1144" s="1"/>
      <c r="L1144" s="1"/>
      <c r="M1144" s="1"/>
      <c r="O1144" s="2"/>
      <c r="P1144" s="2"/>
    </row>
    <row r="1145" spans="1:16" x14ac:dyDescent="0.25">
      <c r="A1145" s="2"/>
      <c r="B1145" s="2"/>
      <c r="F1145" s="1"/>
      <c r="G1145" s="1"/>
      <c r="I1145" s="1"/>
      <c r="J1145" s="1"/>
      <c r="L1145" s="1"/>
      <c r="M1145" s="1"/>
      <c r="O1145" s="2"/>
      <c r="P1145" s="2"/>
    </row>
    <row r="1146" spans="1:16" x14ac:dyDescent="0.25">
      <c r="A1146" s="2"/>
      <c r="B1146" s="2"/>
      <c r="F1146" s="1"/>
      <c r="G1146" s="1"/>
      <c r="I1146" s="1"/>
      <c r="J1146" s="1"/>
      <c r="L1146" s="1"/>
      <c r="M1146" s="1"/>
      <c r="O1146" s="2"/>
      <c r="P1146" s="2"/>
    </row>
    <row r="1147" spans="1:16" x14ac:dyDescent="0.25">
      <c r="A1147" s="2"/>
      <c r="B1147" s="2"/>
      <c r="F1147" s="1"/>
      <c r="G1147" s="1"/>
      <c r="I1147" s="1"/>
      <c r="J1147" s="1"/>
      <c r="L1147" s="1"/>
      <c r="M1147" s="1"/>
      <c r="O1147" s="2"/>
      <c r="P1147" s="2"/>
    </row>
    <row r="1148" spans="1:16" x14ac:dyDescent="0.25">
      <c r="A1148" s="2"/>
      <c r="B1148" s="2"/>
      <c r="F1148" s="1"/>
      <c r="G1148" s="1"/>
      <c r="I1148" s="1"/>
      <c r="J1148" s="1"/>
      <c r="L1148" s="1"/>
      <c r="M1148" s="1"/>
      <c r="O1148" s="2"/>
      <c r="P1148" s="2"/>
    </row>
    <row r="1149" spans="1:16" x14ac:dyDescent="0.25">
      <c r="A1149" s="2"/>
      <c r="B1149" s="2"/>
      <c r="F1149" s="1"/>
      <c r="G1149" s="1"/>
      <c r="I1149" s="1"/>
      <c r="J1149" s="1"/>
      <c r="L1149" s="1"/>
      <c r="M1149" s="1"/>
      <c r="O1149" s="2"/>
      <c r="P1149" s="2"/>
    </row>
    <row r="1150" spans="1:16" x14ac:dyDescent="0.25">
      <c r="A1150" s="2"/>
      <c r="B1150" s="2"/>
      <c r="F1150" s="1"/>
      <c r="G1150" s="1"/>
      <c r="I1150" s="1"/>
      <c r="J1150" s="1"/>
      <c r="L1150" s="1"/>
      <c r="M1150" s="1"/>
      <c r="O1150" s="2"/>
      <c r="P1150" s="2"/>
    </row>
    <row r="1151" spans="1:16" x14ac:dyDescent="0.25">
      <c r="A1151" s="2"/>
      <c r="B1151" s="2"/>
      <c r="F1151" s="1"/>
      <c r="G1151" s="1"/>
      <c r="I1151" s="1"/>
      <c r="J1151" s="1"/>
      <c r="L1151" s="1"/>
      <c r="M1151" s="1"/>
      <c r="O1151" s="2"/>
      <c r="P1151" s="2"/>
    </row>
    <row r="1152" spans="1:16" x14ac:dyDescent="0.25">
      <c r="A1152" s="2"/>
      <c r="B1152" s="2"/>
      <c r="F1152" s="1"/>
      <c r="G1152" s="1"/>
      <c r="I1152" s="1"/>
      <c r="J1152" s="1"/>
      <c r="L1152" s="1"/>
      <c r="M1152" s="1"/>
      <c r="O1152" s="2"/>
      <c r="P1152" s="2"/>
    </row>
    <row r="1153" spans="1:16" x14ac:dyDescent="0.25">
      <c r="A1153" s="2"/>
      <c r="B1153" s="2"/>
      <c r="F1153" s="1"/>
      <c r="G1153" s="1"/>
      <c r="I1153" s="1"/>
      <c r="J1153" s="1"/>
      <c r="L1153" s="1"/>
      <c r="M1153" s="1"/>
      <c r="O1153" s="2"/>
      <c r="P1153" s="2"/>
    </row>
    <row r="1154" spans="1:16" x14ac:dyDescent="0.25">
      <c r="A1154" s="2"/>
      <c r="B1154" s="2"/>
      <c r="F1154" s="1"/>
      <c r="G1154" s="1"/>
      <c r="I1154" s="1"/>
      <c r="J1154" s="1"/>
      <c r="L1154" s="1"/>
      <c r="M1154" s="1"/>
      <c r="O1154" s="2"/>
      <c r="P1154" s="2"/>
    </row>
    <row r="1155" spans="1:16" x14ac:dyDescent="0.25">
      <c r="A1155" s="2"/>
      <c r="B1155" s="2"/>
      <c r="F1155" s="1"/>
      <c r="G1155" s="1"/>
      <c r="I1155" s="1"/>
      <c r="J1155" s="1"/>
      <c r="L1155" s="1"/>
      <c r="M1155" s="1"/>
      <c r="O1155" s="2"/>
      <c r="P1155" s="2"/>
    </row>
    <row r="1156" spans="1:16" x14ac:dyDescent="0.25">
      <c r="A1156" s="2"/>
      <c r="B1156" s="2"/>
      <c r="F1156" s="1"/>
      <c r="G1156" s="1"/>
      <c r="I1156" s="1"/>
      <c r="J1156" s="1"/>
      <c r="L1156" s="1"/>
      <c r="M1156" s="1"/>
      <c r="O1156" s="2"/>
      <c r="P1156" s="2"/>
    </row>
    <row r="1157" spans="1:16" x14ac:dyDescent="0.25">
      <c r="A1157" s="2"/>
      <c r="B1157" s="2"/>
      <c r="F1157" s="1"/>
      <c r="G1157" s="1"/>
      <c r="I1157" s="1"/>
      <c r="J1157" s="1"/>
      <c r="L1157" s="1"/>
      <c r="M1157" s="1"/>
      <c r="O1157" s="2"/>
      <c r="P1157" s="2"/>
    </row>
    <row r="1158" spans="1:16" x14ac:dyDescent="0.25">
      <c r="A1158" s="2"/>
      <c r="B1158" s="2"/>
      <c r="F1158" s="1"/>
      <c r="G1158" s="1"/>
      <c r="I1158" s="1"/>
      <c r="J1158" s="1"/>
      <c r="L1158" s="1"/>
      <c r="M1158" s="1"/>
      <c r="O1158" s="2"/>
      <c r="P1158" s="2"/>
    </row>
    <row r="1159" spans="1:16" x14ac:dyDescent="0.25">
      <c r="A1159" s="2"/>
      <c r="B1159" s="2"/>
      <c r="F1159" s="1"/>
      <c r="G1159" s="1"/>
      <c r="I1159" s="1"/>
      <c r="J1159" s="1"/>
      <c r="L1159" s="1"/>
      <c r="M1159" s="1"/>
      <c r="O1159" s="2"/>
      <c r="P1159" s="2"/>
    </row>
    <row r="1160" spans="1:16" x14ac:dyDescent="0.25">
      <c r="A1160" s="2"/>
      <c r="B1160" s="2"/>
      <c r="F1160" s="1"/>
      <c r="G1160" s="1"/>
      <c r="I1160" s="1"/>
      <c r="J1160" s="1"/>
      <c r="L1160" s="1"/>
      <c r="M1160" s="1"/>
      <c r="O1160" s="2"/>
      <c r="P1160" s="2"/>
    </row>
    <row r="1161" spans="1:16" x14ac:dyDescent="0.25">
      <c r="A1161" s="2"/>
      <c r="B1161" s="2"/>
      <c r="F1161" s="1"/>
      <c r="G1161" s="1"/>
      <c r="I1161" s="1"/>
      <c r="J1161" s="1"/>
      <c r="L1161" s="1"/>
      <c r="M1161" s="1"/>
      <c r="O1161" s="2"/>
      <c r="P1161" s="2"/>
    </row>
    <row r="1162" spans="1:16" x14ac:dyDescent="0.25">
      <c r="A1162" s="2"/>
      <c r="B1162" s="2"/>
      <c r="F1162" s="1"/>
      <c r="G1162" s="1"/>
      <c r="I1162" s="1"/>
      <c r="J1162" s="1"/>
      <c r="L1162" s="1"/>
      <c r="M1162" s="1"/>
      <c r="O1162" s="2"/>
      <c r="P1162" s="2"/>
    </row>
    <row r="1163" spans="1:16" x14ac:dyDescent="0.25">
      <c r="A1163" s="2"/>
      <c r="B1163" s="2"/>
      <c r="F1163" s="1"/>
      <c r="G1163" s="1"/>
      <c r="I1163" s="1"/>
      <c r="J1163" s="1"/>
      <c r="L1163" s="1"/>
      <c r="M1163" s="1"/>
      <c r="O1163" s="2"/>
      <c r="P1163" s="2"/>
    </row>
    <row r="1164" spans="1:16" x14ac:dyDescent="0.25">
      <c r="A1164" s="2"/>
      <c r="B1164" s="2"/>
      <c r="F1164" s="1"/>
      <c r="G1164" s="1"/>
      <c r="I1164" s="1"/>
      <c r="J1164" s="1"/>
      <c r="L1164" s="1"/>
      <c r="M1164" s="1"/>
      <c r="O1164" s="2"/>
      <c r="P1164" s="2"/>
    </row>
    <row r="1165" spans="1:16" x14ac:dyDescent="0.25">
      <c r="A1165" s="2"/>
      <c r="B1165" s="2"/>
      <c r="F1165" s="1"/>
      <c r="G1165" s="1"/>
      <c r="I1165" s="1"/>
      <c r="J1165" s="1"/>
      <c r="L1165" s="1"/>
      <c r="M1165" s="1"/>
      <c r="O1165" s="2"/>
      <c r="P1165" s="2"/>
    </row>
    <row r="1166" spans="1:16" x14ac:dyDescent="0.25">
      <c r="A1166" s="2"/>
      <c r="B1166" s="2"/>
      <c r="F1166" s="1"/>
      <c r="G1166" s="1"/>
      <c r="I1166" s="1"/>
      <c r="J1166" s="1"/>
      <c r="L1166" s="1"/>
      <c r="M1166" s="1"/>
      <c r="O1166" s="2"/>
      <c r="P1166" s="2"/>
    </row>
    <row r="1167" spans="1:16" x14ac:dyDescent="0.25">
      <c r="A1167" s="2"/>
      <c r="B1167" s="2"/>
      <c r="F1167" s="1"/>
      <c r="G1167" s="1"/>
      <c r="I1167" s="1"/>
      <c r="J1167" s="1"/>
      <c r="L1167" s="1"/>
      <c r="M1167" s="1"/>
      <c r="O1167" s="2"/>
      <c r="P1167" s="2"/>
    </row>
    <row r="1168" spans="1:16" x14ac:dyDescent="0.25">
      <c r="A1168" s="2"/>
      <c r="B1168" s="2"/>
      <c r="F1168" s="1"/>
      <c r="G1168" s="1"/>
      <c r="I1168" s="1"/>
      <c r="J1168" s="1"/>
      <c r="L1168" s="1"/>
      <c r="M1168" s="1"/>
      <c r="O1168" s="2"/>
      <c r="P1168" s="2"/>
    </row>
    <row r="1169" spans="1:16" x14ac:dyDescent="0.25">
      <c r="A1169" s="2"/>
      <c r="B1169" s="2"/>
      <c r="F1169" s="1"/>
      <c r="G1169" s="1"/>
      <c r="I1169" s="1"/>
      <c r="J1169" s="1"/>
      <c r="L1169" s="1"/>
      <c r="M1169" s="1"/>
      <c r="O1169" s="2"/>
      <c r="P1169" s="2"/>
    </row>
    <row r="1170" spans="1:16" x14ac:dyDescent="0.25">
      <c r="A1170" s="2"/>
      <c r="B1170" s="2"/>
      <c r="F1170" s="1"/>
      <c r="G1170" s="1"/>
      <c r="I1170" s="1"/>
      <c r="J1170" s="1"/>
      <c r="L1170" s="1"/>
      <c r="M1170" s="1"/>
      <c r="O1170" s="2"/>
      <c r="P1170" s="2"/>
    </row>
    <row r="1171" spans="1:16" x14ac:dyDescent="0.25">
      <c r="A1171" s="2"/>
      <c r="B1171" s="2"/>
      <c r="F1171" s="1"/>
      <c r="G1171" s="1"/>
      <c r="I1171" s="1"/>
      <c r="J1171" s="1"/>
      <c r="L1171" s="1"/>
      <c r="M1171" s="1"/>
      <c r="O1171" s="2"/>
      <c r="P1171" s="2"/>
    </row>
    <row r="1172" spans="1:16" x14ac:dyDescent="0.25">
      <c r="A1172" s="2"/>
      <c r="B1172" s="2"/>
      <c r="F1172" s="1"/>
      <c r="G1172" s="1"/>
      <c r="I1172" s="1"/>
      <c r="J1172" s="1"/>
      <c r="L1172" s="1"/>
      <c r="M1172" s="1"/>
      <c r="O1172" s="2"/>
      <c r="P1172" s="2"/>
    </row>
    <row r="1173" spans="1:16" x14ac:dyDescent="0.25">
      <c r="A1173" s="2"/>
      <c r="B1173" s="2"/>
      <c r="F1173" s="1"/>
      <c r="G1173" s="1"/>
      <c r="I1173" s="1"/>
      <c r="J1173" s="1"/>
      <c r="L1173" s="1"/>
      <c r="M1173" s="1"/>
      <c r="O1173" s="2"/>
      <c r="P1173" s="2"/>
    </row>
    <row r="1174" spans="1:16" x14ac:dyDescent="0.25">
      <c r="A1174" s="2"/>
      <c r="B1174" s="2"/>
      <c r="F1174" s="1"/>
      <c r="G1174" s="1"/>
      <c r="I1174" s="1"/>
      <c r="J1174" s="1"/>
      <c r="L1174" s="1"/>
      <c r="M1174" s="1"/>
      <c r="O1174" s="2"/>
      <c r="P1174" s="2"/>
    </row>
    <row r="1175" spans="1:16" x14ac:dyDescent="0.25">
      <c r="A1175" s="2"/>
      <c r="B1175" s="2"/>
      <c r="F1175" s="1"/>
      <c r="G1175" s="1"/>
      <c r="I1175" s="1"/>
      <c r="J1175" s="1"/>
      <c r="L1175" s="1"/>
      <c r="M1175" s="1"/>
      <c r="O1175" s="2"/>
      <c r="P1175" s="2"/>
    </row>
    <row r="1176" spans="1:16" x14ac:dyDescent="0.25">
      <c r="A1176" s="2"/>
      <c r="B1176" s="2"/>
      <c r="F1176" s="1"/>
      <c r="G1176" s="1"/>
      <c r="I1176" s="1"/>
      <c r="J1176" s="1"/>
      <c r="L1176" s="1"/>
      <c r="M1176" s="1"/>
      <c r="O1176" s="2"/>
      <c r="P1176" s="2"/>
    </row>
    <row r="1177" spans="1:16" x14ac:dyDescent="0.25">
      <c r="A1177" s="2"/>
      <c r="B1177" s="2"/>
      <c r="F1177" s="1"/>
      <c r="G1177" s="1"/>
      <c r="I1177" s="1"/>
      <c r="J1177" s="1"/>
      <c r="L1177" s="1"/>
      <c r="M1177" s="1"/>
      <c r="O1177" s="2"/>
      <c r="P1177" s="2"/>
    </row>
    <row r="1178" spans="1:16" x14ac:dyDescent="0.25">
      <c r="A1178" s="2"/>
      <c r="B1178" s="2"/>
      <c r="F1178" s="1"/>
      <c r="G1178" s="1"/>
      <c r="I1178" s="1"/>
      <c r="J1178" s="1"/>
      <c r="L1178" s="1"/>
      <c r="M1178" s="1"/>
      <c r="O1178" s="2"/>
      <c r="P1178" s="2"/>
    </row>
    <row r="1179" spans="1:16" x14ac:dyDescent="0.25">
      <c r="A1179" s="2"/>
      <c r="B1179" s="2"/>
      <c r="F1179" s="1"/>
      <c r="G1179" s="1"/>
      <c r="I1179" s="1"/>
      <c r="J1179" s="1"/>
      <c r="L1179" s="1"/>
      <c r="M1179" s="1"/>
      <c r="O1179" s="2"/>
      <c r="P1179" s="2"/>
    </row>
    <row r="1180" spans="1:16" x14ac:dyDescent="0.25">
      <c r="A1180" s="2"/>
      <c r="B1180" s="2"/>
      <c r="F1180" s="1"/>
      <c r="G1180" s="1"/>
      <c r="I1180" s="1"/>
      <c r="J1180" s="1"/>
      <c r="L1180" s="1"/>
      <c r="M1180" s="1"/>
      <c r="O1180" s="2"/>
      <c r="P1180" s="2"/>
    </row>
    <row r="1181" spans="1:16" x14ac:dyDescent="0.25">
      <c r="A1181" s="2"/>
      <c r="B1181" s="2"/>
      <c r="F1181" s="1"/>
      <c r="G1181" s="1"/>
      <c r="I1181" s="1"/>
      <c r="J1181" s="1"/>
      <c r="L1181" s="1"/>
      <c r="M1181" s="1"/>
      <c r="O1181" s="2"/>
      <c r="P1181" s="2"/>
    </row>
    <row r="1182" spans="1:16" x14ac:dyDescent="0.25">
      <c r="A1182" s="2"/>
      <c r="B1182" s="2"/>
      <c r="F1182" s="1"/>
      <c r="G1182" s="1"/>
      <c r="I1182" s="1"/>
      <c r="J1182" s="1"/>
      <c r="L1182" s="1"/>
      <c r="M1182" s="1"/>
      <c r="O1182" s="2"/>
      <c r="P1182" s="2"/>
    </row>
    <row r="1183" spans="1:16" x14ac:dyDescent="0.25">
      <c r="A1183" s="2"/>
      <c r="B1183" s="2"/>
      <c r="F1183" s="1"/>
      <c r="G1183" s="1"/>
      <c r="I1183" s="1"/>
      <c r="J1183" s="1"/>
      <c r="L1183" s="1"/>
      <c r="M1183" s="1"/>
      <c r="O1183" s="2"/>
      <c r="P1183" s="2"/>
    </row>
    <row r="1184" spans="1:16" x14ac:dyDescent="0.25">
      <c r="A1184" s="2"/>
      <c r="B1184" s="2"/>
      <c r="F1184" s="1"/>
      <c r="G1184" s="1"/>
      <c r="I1184" s="1"/>
      <c r="J1184" s="1"/>
      <c r="L1184" s="1"/>
      <c r="M1184" s="1"/>
      <c r="O1184" s="2"/>
      <c r="P1184" s="2"/>
    </row>
    <row r="1185" spans="1:16" x14ac:dyDescent="0.25">
      <c r="A1185" s="2"/>
      <c r="B1185" s="2"/>
      <c r="F1185" s="1"/>
      <c r="G1185" s="1"/>
      <c r="I1185" s="1"/>
      <c r="J1185" s="1"/>
      <c r="L1185" s="1"/>
      <c r="M1185" s="1"/>
      <c r="O1185" s="2"/>
      <c r="P1185" s="2"/>
    </row>
    <row r="1186" spans="1:16" x14ac:dyDescent="0.25">
      <c r="A1186" s="2"/>
      <c r="B1186" s="2"/>
      <c r="F1186" s="1"/>
      <c r="G1186" s="1"/>
      <c r="I1186" s="1"/>
      <c r="J1186" s="1"/>
      <c r="L1186" s="1"/>
      <c r="M1186" s="1"/>
      <c r="O1186" s="2"/>
      <c r="P1186" s="2"/>
    </row>
    <row r="1187" spans="1:16" x14ac:dyDescent="0.25">
      <c r="A1187" s="2"/>
      <c r="B1187" s="2"/>
      <c r="F1187" s="1"/>
      <c r="G1187" s="1"/>
      <c r="I1187" s="1"/>
      <c r="J1187" s="1"/>
      <c r="L1187" s="1"/>
      <c r="M1187" s="1"/>
      <c r="O1187" s="2"/>
      <c r="P1187" s="2"/>
    </row>
    <row r="1188" spans="1:16" x14ac:dyDescent="0.25">
      <c r="A1188" s="2"/>
      <c r="B1188" s="2"/>
      <c r="F1188" s="1"/>
      <c r="G1188" s="1"/>
      <c r="I1188" s="1"/>
      <c r="J1188" s="1"/>
      <c r="L1188" s="1"/>
      <c r="M1188" s="1"/>
      <c r="O1188" s="2"/>
      <c r="P1188" s="2"/>
    </row>
    <row r="1189" spans="1:16" x14ac:dyDescent="0.25">
      <c r="A1189" s="2"/>
      <c r="B1189" s="2"/>
      <c r="F1189" s="1"/>
      <c r="G1189" s="1"/>
      <c r="I1189" s="1"/>
      <c r="J1189" s="1"/>
      <c r="L1189" s="1"/>
      <c r="M1189" s="1"/>
      <c r="O1189" s="2"/>
      <c r="P1189" s="2"/>
    </row>
    <row r="1190" spans="1:16" x14ac:dyDescent="0.25">
      <c r="A1190" s="2"/>
      <c r="B1190" s="2"/>
      <c r="F1190" s="1"/>
      <c r="G1190" s="1"/>
      <c r="I1190" s="1"/>
      <c r="J1190" s="1"/>
      <c r="L1190" s="1"/>
      <c r="M1190" s="1"/>
      <c r="O1190" s="2"/>
      <c r="P1190" s="2"/>
    </row>
    <row r="1191" spans="1:16" x14ac:dyDescent="0.25">
      <c r="A1191" s="2"/>
      <c r="B1191" s="2"/>
      <c r="F1191" s="1"/>
      <c r="G1191" s="1"/>
      <c r="I1191" s="1"/>
      <c r="J1191" s="1"/>
      <c r="L1191" s="1"/>
      <c r="M1191" s="1"/>
      <c r="O1191" s="2"/>
      <c r="P1191" s="2"/>
    </row>
    <row r="1192" spans="1:16" x14ac:dyDescent="0.25">
      <c r="A1192" s="2"/>
      <c r="B1192" s="2"/>
      <c r="F1192" s="1"/>
      <c r="G1192" s="1"/>
      <c r="I1192" s="1"/>
      <c r="J1192" s="1"/>
      <c r="L1192" s="1"/>
      <c r="M1192" s="1"/>
      <c r="O1192" s="2"/>
      <c r="P1192" s="2"/>
    </row>
    <row r="1193" spans="1:16" x14ac:dyDescent="0.25">
      <c r="A1193" s="2"/>
      <c r="B1193" s="2"/>
      <c r="F1193" s="1"/>
      <c r="G1193" s="1"/>
      <c r="I1193" s="1"/>
      <c r="J1193" s="1"/>
      <c r="L1193" s="1"/>
      <c r="M1193" s="1"/>
      <c r="O1193" s="2"/>
      <c r="P1193" s="2"/>
    </row>
    <row r="1194" spans="1:16" x14ac:dyDescent="0.25">
      <c r="A1194" s="2"/>
      <c r="B1194" s="2"/>
      <c r="F1194" s="1"/>
      <c r="G1194" s="1"/>
      <c r="I1194" s="1"/>
      <c r="J1194" s="1"/>
      <c r="L1194" s="1"/>
      <c r="M1194" s="1"/>
      <c r="O1194" s="2"/>
      <c r="P1194" s="2"/>
    </row>
    <row r="1195" spans="1:16" x14ac:dyDescent="0.25">
      <c r="A1195" s="2"/>
      <c r="B1195" s="2"/>
      <c r="F1195" s="1"/>
      <c r="G1195" s="1"/>
      <c r="I1195" s="1"/>
      <c r="J1195" s="1"/>
      <c r="L1195" s="1"/>
      <c r="M1195" s="1"/>
      <c r="O1195" s="2"/>
      <c r="P1195" s="2"/>
    </row>
    <row r="1196" spans="1:16" x14ac:dyDescent="0.25">
      <c r="A1196" s="2"/>
      <c r="B1196" s="2"/>
      <c r="F1196" s="1"/>
      <c r="G1196" s="1"/>
      <c r="I1196" s="1"/>
      <c r="J1196" s="1"/>
      <c r="L1196" s="1"/>
      <c r="M1196" s="1"/>
      <c r="O1196" s="2"/>
      <c r="P1196" s="2"/>
    </row>
    <row r="1197" spans="1:16" x14ac:dyDescent="0.25">
      <c r="A1197" s="2"/>
      <c r="B1197" s="2"/>
      <c r="F1197" s="1"/>
      <c r="G1197" s="1"/>
      <c r="I1197" s="1"/>
      <c r="J1197" s="1"/>
      <c r="L1197" s="1"/>
      <c r="M1197" s="1"/>
      <c r="O1197" s="2"/>
      <c r="P1197" s="2"/>
    </row>
    <row r="1198" spans="1:16" x14ac:dyDescent="0.25">
      <c r="A1198" s="2"/>
      <c r="B1198" s="2"/>
      <c r="F1198" s="1"/>
      <c r="G1198" s="1"/>
      <c r="I1198" s="1"/>
      <c r="J1198" s="1"/>
      <c r="L1198" s="1"/>
      <c r="M1198" s="1"/>
      <c r="O1198" s="2"/>
      <c r="P1198" s="2"/>
    </row>
    <row r="1199" spans="1:16" x14ac:dyDescent="0.25">
      <c r="A1199" s="2"/>
      <c r="B1199" s="2"/>
      <c r="F1199" s="1"/>
      <c r="G1199" s="1"/>
      <c r="I1199" s="1"/>
      <c r="J1199" s="1"/>
      <c r="L1199" s="1"/>
      <c r="M1199" s="1"/>
      <c r="O1199" s="2"/>
      <c r="P1199" s="2"/>
    </row>
    <row r="1200" spans="1:16" x14ac:dyDescent="0.25">
      <c r="A1200" s="2"/>
      <c r="B1200" s="2"/>
      <c r="F1200" s="1"/>
      <c r="G1200" s="1"/>
      <c r="I1200" s="1"/>
      <c r="J1200" s="1"/>
      <c r="L1200" s="1"/>
      <c r="M1200" s="1"/>
      <c r="O1200" s="2"/>
      <c r="P1200" s="2"/>
    </row>
    <row r="1201" spans="1:16" x14ac:dyDescent="0.25">
      <c r="A1201" s="2"/>
      <c r="B1201" s="2"/>
      <c r="F1201" s="1"/>
      <c r="G1201" s="1"/>
      <c r="I1201" s="1"/>
      <c r="J1201" s="1"/>
      <c r="L1201" s="1"/>
      <c r="M1201" s="1"/>
      <c r="O1201" s="2"/>
      <c r="P1201" s="2"/>
    </row>
    <row r="1202" spans="1:16" x14ac:dyDescent="0.25">
      <c r="A1202" s="2"/>
      <c r="B1202" s="2"/>
      <c r="F1202" s="1"/>
      <c r="G1202" s="1"/>
      <c r="I1202" s="1"/>
      <c r="J1202" s="1"/>
      <c r="L1202" s="1"/>
      <c r="M1202" s="1"/>
      <c r="O1202" s="2"/>
      <c r="P1202" s="2"/>
    </row>
    <row r="1203" spans="1:16" x14ac:dyDescent="0.25">
      <c r="A1203" s="2"/>
      <c r="B1203" s="2"/>
      <c r="F1203" s="1"/>
      <c r="G1203" s="1"/>
      <c r="I1203" s="1"/>
      <c r="J1203" s="1"/>
      <c r="L1203" s="1"/>
      <c r="M1203" s="1"/>
      <c r="O1203" s="2"/>
      <c r="P1203" s="2"/>
    </row>
    <row r="1204" spans="1:16" x14ac:dyDescent="0.25">
      <c r="A1204" s="2"/>
      <c r="B1204" s="2"/>
      <c r="F1204" s="1"/>
      <c r="G1204" s="1"/>
      <c r="I1204" s="1"/>
      <c r="J1204" s="1"/>
      <c r="L1204" s="1"/>
      <c r="M1204" s="1"/>
      <c r="O1204" s="2"/>
      <c r="P1204" s="2"/>
    </row>
    <row r="1205" spans="1:16" x14ac:dyDescent="0.25">
      <c r="A1205" s="2"/>
      <c r="B1205" s="2"/>
      <c r="F1205" s="1"/>
      <c r="G1205" s="1"/>
      <c r="I1205" s="1"/>
      <c r="J1205" s="1"/>
      <c r="L1205" s="1"/>
      <c r="M1205" s="1"/>
      <c r="O1205" s="2"/>
      <c r="P1205" s="2"/>
    </row>
    <row r="1206" spans="1:16" x14ac:dyDescent="0.25">
      <c r="A1206" s="2"/>
      <c r="B1206" s="2"/>
      <c r="F1206" s="1"/>
      <c r="G1206" s="1"/>
      <c r="I1206" s="1"/>
      <c r="J1206" s="1"/>
      <c r="L1206" s="1"/>
      <c r="M1206" s="1"/>
      <c r="O1206" s="2"/>
      <c r="P1206" s="2"/>
    </row>
    <row r="1207" spans="1:16" x14ac:dyDescent="0.25">
      <c r="A1207" s="2"/>
      <c r="B1207" s="2"/>
      <c r="F1207" s="1"/>
      <c r="G1207" s="1"/>
      <c r="I1207" s="1"/>
      <c r="J1207" s="1"/>
      <c r="L1207" s="1"/>
      <c r="M1207" s="1"/>
      <c r="O1207" s="2"/>
      <c r="P1207" s="2"/>
    </row>
    <row r="1208" spans="1:16" x14ac:dyDescent="0.25">
      <c r="A1208" s="2"/>
      <c r="B1208" s="2"/>
      <c r="F1208" s="1"/>
      <c r="G1208" s="1"/>
      <c r="I1208" s="1"/>
      <c r="J1208" s="1"/>
      <c r="L1208" s="1"/>
      <c r="M1208" s="1"/>
      <c r="O1208" s="2"/>
      <c r="P1208" s="2"/>
    </row>
    <row r="1209" spans="1:16" x14ac:dyDescent="0.25">
      <c r="A1209" s="2"/>
      <c r="B1209" s="2"/>
      <c r="F1209" s="1"/>
      <c r="G1209" s="1"/>
      <c r="I1209" s="1"/>
      <c r="J1209" s="1"/>
      <c r="L1209" s="1"/>
      <c r="M1209" s="1"/>
      <c r="O1209" s="2"/>
      <c r="P1209" s="2"/>
    </row>
    <row r="1210" spans="1:16" x14ac:dyDescent="0.25">
      <c r="A1210" s="2"/>
      <c r="B1210" s="2"/>
      <c r="F1210" s="1"/>
      <c r="G1210" s="1"/>
      <c r="I1210" s="1"/>
      <c r="J1210" s="1"/>
      <c r="L1210" s="1"/>
      <c r="M1210" s="1"/>
      <c r="O1210" s="2"/>
      <c r="P1210" s="2"/>
    </row>
    <row r="1211" spans="1:16" x14ac:dyDescent="0.25">
      <c r="A1211" s="2"/>
      <c r="B1211" s="2"/>
      <c r="F1211" s="1"/>
      <c r="G1211" s="1"/>
      <c r="I1211" s="1"/>
      <c r="J1211" s="1"/>
      <c r="L1211" s="1"/>
      <c r="M1211" s="1"/>
      <c r="O1211" s="2"/>
      <c r="P1211" s="2"/>
    </row>
    <row r="1212" spans="1:16" x14ac:dyDescent="0.25">
      <c r="A1212" s="2"/>
      <c r="B1212" s="2"/>
      <c r="F1212" s="1"/>
      <c r="G1212" s="1"/>
      <c r="I1212" s="1"/>
      <c r="J1212" s="1"/>
      <c r="L1212" s="1"/>
      <c r="M1212" s="1"/>
      <c r="O1212" s="2"/>
      <c r="P1212" s="2"/>
    </row>
    <row r="1213" spans="1:16" x14ac:dyDescent="0.25">
      <c r="A1213" s="2"/>
      <c r="B1213" s="2"/>
      <c r="F1213" s="1"/>
      <c r="G1213" s="1"/>
      <c r="I1213" s="1"/>
      <c r="J1213" s="1"/>
      <c r="L1213" s="1"/>
      <c r="M1213" s="1"/>
      <c r="O1213" s="2"/>
      <c r="P1213" s="2"/>
    </row>
    <row r="1214" spans="1:16" x14ac:dyDescent="0.25">
      <c r="A1214" s="2"/>
      <c r="B1214" s="2"/>
      <c r="F1214" s="1"/>
      <c r="G1214" s="1"/>
      <c r="I1214" s="1"/>
      <c r="J1214" s="1"/>
      <c r="L1214" s="1"/>
      <c r="M1214" s="1"/>
      <c r="O1214" s="2"/>
      <c r="P1214" s="2"/>
    </row>
    <row r="1215" spans="1:16" x14ac:dyDescent="0.25">
      <c r="A1215" s="2"/>
      <c r="B1215" s="2"/>
      <c r="F1215" s="1"/>
      <c r="G1215" s="1"/>
      <c r="I1215" s="1"/>
      <c r="J1215" s="1"/>
      <c r="L1215" s="1"/>
      <c r="M1215" s="1"/>
      <c r="O1215" s="2"/>
      <c r="P1215" s="2"/>
    </row>
    <row r="1216" spans="1:16" x14ac:dyDescent="0.25">
      <c r="A1216" s="2"/>
      <c r="B1216" s="2"/>
      <c r="F1216" s="1"/>
      <c r="G1216" s="1"/>
      <c r="I1216" s="1"/>
      <c r="J1216" s="1"/>
      <c r="L1216" s="1"/>
      <c r="M1216" s="1"/>
      <c r="O1216" s="2"/>
      <c r="P1216" s="2"/>
    </row>
    <row r="1217" spans="1:16" x14ac:dyDescent="0.25">
      <c r="A1217" s="2"/>
      <c r="B1217" s="2"/>
      <c r="F1217" s="1"/>
      <c r="G1217" s="1"/>
      <c r="I1217" s="1"/>
      <c r="J1217" s="1"/>
      <c r="L1217" s="1"/>
      <c r="M1217" s="1"/>
      <c r="O1217" s="2"/>
      <c r="P1217" s="2"/>
    </row>
    <row r="1218" spans="1:16" x14ac:dyDescent="0.25">
      <c r="A1218" s="2"/>
      <c r="B1218" s="2"/>
      <c r="F1218" s="1"/>
      <c r="G1218" s="1"/>
      <c r="I1218" s="1"/>
      <c r="J1218" s="1"/>
      <c r="L1218" s="1"/>
      <c r="M1218" s="1"/>
      <c r="O1218" s="2"/>
      <c r="P1218" s="2"/>
    </row>
    <row r="1219" spans="1:16" x14ac:dyDescent="0.25">
      <c r="A1219" s="2"/>
      <c r="B1219" s="2"/>
      <c r="F1219" s="1"/>
      <c r="G1219" s="1"/>
      <c r="I1219" s="1"/>
      <c r="J1219" s="1"/>
      <c r="L1219" s="1"/>
      <c r="M1219" s="1"/>
      <c r="O1219" s="2"/>
      <c r="P1219" s="2"/>
    </row>
    <row r="1220" spans="1:16" x14ac:dyDescent="0.25">
      <c r="A1220" s="2"/>
      <c r="B1220" s="2"/>
      <c r="F1220" s="1"/>
      <c r="G1220" s="1"/>
      <c r="I1220" s="1"/>
      <c r="J1220" s="1"/>
      <c r="L1220" s="1"/>
      <c r="M1220" s="1"/>
      <c r="O1220" s="2"/>
      <c r="P1220" s="2"/>
    </row>
    <row r="1221" spans="1:16" x14ac:dyDescent="0.25">
      <c r="A1221" s="2"/>
      <c r="B1221" s="2"/>
      <c r="F1221" s="1"/>
      <c r="G1221" s="1"/>
      <c r="I1221" s="1"/>
      <c r="J1221" s="1"/>
      <c r="L1221" s="1"/>
      <c r="M1221" s="1"/>
      <c r="O1221" s="2"/>
      <c r="P1221" s="2"/>
    </row>
    <row r="1222" spans="1:16" x14ac:dyDescent="0.25">
      <c r="A1222" s="2"/>
      <c r="B1222" s="2"/>
      <c r="F1222" s="1"/>
      <c r="G1222" s="1"/>
      <c r="I1222" s="1"/>
      <c r="J1222" s="1"/>
      <c r="L1222" s="1"/>
      <c r="M1222" s="1"/>
      <c r="O1222" s="2"/>
      <c r="P1222" s="2"/>
    </row>
    <row r="1223" spans="1:16" x14ac:dyDescent="0.25">
      <c r="A1223" s="2"/>
      <c r="B1223" s="2"/>
      <c r="F1223" s="1"/>
      <c r="G1223" s="1"/>
      <c r="I1223" s="1"/>
      <c r="J1223" s="1"/>
      <c r="L1223" s="1"/>
      <c r="M1223" s="1"/>
      <c r="O1223" s="2"/>
      <c r="P1223" s="2"/>
    </row>
    <row r="1224" spans="1:16" x14ac:dyDescent="0.25">
      <c r="A1224" s="2"/>
      <c r="B1224" s="2"/>
      <c r="F1224" s="1"/>
      <c r="G1224" s="1"/>
      <c r="I1224" s="1"/>
      <c r="J1224" s="1"/>
      <c r="L1224" s="1"/>
      <c r="M1224" s="1"/>
      <c r="O1224" s="2"/>
      <c r="P1224" s="2"/>
    </row>
    <row r="1225" spans="1:16" x14ac:dyDescent="0.25">
      <c r="A1225" s="2"/>
      <c r="B1225" s="2"/>
      <c r="F1225" s="1"/>
      <c r="G1225" s="1"/>
      <c r="I1225" s="1"/>
      <c r="J1225" s="1"/>
      <c r="L1225" s="1"/>
      <c r="M1225" s="1"/>
      <c r="O1225" s="2"/>
      <c r="P1225" s="2"/>
    </row>
    <row r="1226" spans="1:16" x14ac:dyDescent="0.25">
      <c r="A1226" s="2"/>
      <c r="B1226" s="2"/>
      <c r="F1226" s="1"/>
      <c r="G1226" s="1"/>
      <c r="I1226" s="1"/>
      <c r="J1226" s="1"/>
      <c r="L1226" s="1"/>
      <c r="M1226" s="1"/>
      <c r="O1226" s="2"/>
      <c r="P1226" s="2"/>
    </row>
    <row r="1227" spans="1:16" x14ac:dyDescent="0.25">
      <c r="A1227" s="2"/>
      <c r="B1227" s="2"/>
      <c r="F1227" s="1"/>
      <c r="G1227" s="1"/>
      <c r="I1227" s="1"/>
      <c r="J1227" s="1"/>
      <c r="L1227" s="1"/>
      <c r="M1227" s="1"/>
      <c r="O1227" s="2"/>
      <c r="P1227" s="2"/>
    </row>
    <row r="1228" spans="1:16" x14ac:dyDescent="0.25">
      <c r="A1228" s="2"/>
      <c r="B1228" s="2"/>
      <c r="F1228" s="1"/>
      <c r="G1228" s="1"/>
      <c r="I1228" s="1"/>
      <c r="J1228" s="1"/>
      <c r="L1228" s="1"/>
      <c r="M1228" s="1"/>
      <c r="O1228" s="2"/>
      <c r="P1228" s="2"/>
    </row>
    <row r="1229" spans="1:16" x14ac:dyDescent="0.25">
      <c r="A1229" s="2"/>
      <c r="B1229" s="2"/>
      <c r="F1229" s="1"/>
      <c r="G1229" s="1"/>
      <c r="I1229" s="1"/>
      <c r="J1229" s="1"/>
      <c r="L1229" s="1"/>
      <c r="M1229" s="1"/>
      <c r="O1229" s="2"/>
      <c r="P1229" s="2"/>
    </row>
    <row r="1230" spans="1:16" x14ac:dyDescent="0.25">
      <c r="A1230" s="2"/>
      <c r="B1230" s="2"/>
      <c r="F1230" s="1"/>
      <c r="G1230" s="1"/>
      <c r="I1230" s="1"/>
      <c r="J1230" s="1"/>
      <c r="L1230" s="1"/>
      <c r="M1230" s="1"/>
      <c r="O1230" s="2"/>
      <c r="P1230" s="2"/>
    </row>
    <row r="1231" spans="1:16" x14ac:dyDescent="0.25">
      <c r="A1231" s="2"/>
      <c r="B1231" s="2"/>
      <c r="F1231" s="1"/>
      <c r="G1231" s="1"/>
      <c r="I1231" s="1"/>
      <c r="J1231" s="1"/>
      <c r="L1231" s="1"/>
      <c r="M1231" s="1"/>
      <c r="O1231" s="2"/>
      <c r="P1231" s="2"/>
    </row>
    <row r="1232" spans="1:16" x14ac:dyDescent="0.25">
      <c r="A1232" s="2"/>
      <c r="B1232" s="2"/>
      <c r="F1232" s="1"/>
      <c r="G1232" s="1"/>
      <c r="I1232" s="1"/>
      <c r="J1232" s="1"/>
      <c r="L1232" s="1"/>
      <c r="M1232" s="1"/>
      <c r="O1232" s="2"/>
      <c r="P1232" s="2"/>
    </row>
    <row r="1233" spans="1:16" x14ac:dyDescent="0.25">
      <c r="A1233" s="2"/>
      <c r="B1233" s="2"/>
      <c r="F1233" s="1"/>
      <c r="G1233" s="1"/>
      <c r="I1233" s="1"/>
      <c r="J1233" s="1"/>
      <c r="L1233" s="1"/>
      <c r="M1233" s="1"/>
      <c r="O1233" s="2"/>
      <c r="P1233" s="2"/>
    </row>
    <row r="1234" spans="1:16" x14ac:dyDescent="0.25">
      <c r="A1234" s="2"/>
      <c r="B1234" s="2"/>
      <c r="F1234" s="1"/>
      <c r="G1234" s="1"/>
      <c r="I1234" s="1"/>
      <c r="J1234" s="1"/>
      <c r="L1234" s="1"/>
      <c r="M1234" s="1"/>
      <c r="O1234" s="2"/>
      <c r="P1234" s="2"/>
    </row>
    <row r="1235" spans="1:16" x14ac:dyDescent="0.25">
      <c r="A1235" s="2"/>
      <c r="B1235" s="2"/>
      <c r="F1235" s="1"/>
      <c r="G1235" s="1"/>
      <c r="I1235" s="1"/>
      <c r="J1235" s="1"/>
      <c r="L1235" s="1"/>
      <c r="M1235" s="1"/>
      <c r="O1235" s="2"/>
      <c r="P1235" s="2"/>
    </row>
    <row r="1236" spans="1:16" x14ac:dyDescent="0.25">
      <c r="A1236" s="2"/>
      <c r="B1236" s="2"/>
      <c r="F1236" s="1"/>
      <c r="G1236" s="1"/>
      <c r="I1236" s="1"/>
      <c r="J1236" s="1"/>
      <c r="L1236" s="1"/>
      <c r="M1236" s="1"/>
      <c r="O1236" s="2"/>
      <c r="P1236" s="2"/>
    </row>
    <row r="1237" spans="1:16" x14ac:dyDescent="0.25">
      <c r="A1237" s="2"/>
      <c r="B1237" s="2"/>
      <c r="F1237" s="1"/>
      <c r="G1237" s="1"/>
      <c r="I1237" s="1"/>
      <c r="J1237" s="1"/>
      <c r="L1237" s="1"/>
      <c r="M1237" s="1"/>
      <c r="O1237" s="2"/>
      <c r="P1237" s="2"/>
    </row>
    <row r="1238" spans="1:16" x14ac:dyDescent="0.25">
      <c r="A1238" s="2"/>
      <c r="B1238" s="2"/>
      <c r="F1238" s="1"/>
      <c r="G1238" s="1"/>
      <c r="I1238" s="1"/>
      <c r="J1238" s="1"/>
      <c r="L1238" s="1"/>
      <c r="M1238" s="1"/>
      <c r="O1238" s="2"/>
      <c r="P1238" s="2"/>
    </row>
    <row r="1239" spans="1:16" x14ac:dyDescent="0.25">
      <c r="A1239" s="2"/>
      <c r="B1239" s="2"/>
      <c r="F1239" s="1"/>
      <c r="G1239" s="1"/>
      <c r="I1239" s="1"/>
      <c r="J1239" s="1"/>
      <c r="L1239" s="1"/>
      <c r="M1239" s="1"/>
      <c r="O1239" s="2"/>
      <c r="P1239" s="2"/>
    </row>
    <row r="1240" spans="1:16" x14ac:dyDescent="0.25">
      <c r="A1240" s="2"/>
      <c r="B1240" s="2"/>
      <c r="F1240" s="1"/>
      <c r="G1240" s="1"/>
      <c r="I1240" s="1"/>
      <c r="J1240" s="1"/>
      <c r="L1240" s="1"/>
      <c r="M1240" s="1"/>
      <c r="O1240" s="2"/>
      <c r="P1240" s="2"/>
    </row>
    <row r="1241" spans="1:16" x14ac:dyDescent="0.25">
      <c r="A1241" s="2"/>
      <c r="B1241" s="2"/>
      <c r="F1241" s="1"/>
      <c r="G1241" s="1"/>
      <c r="I1241" s="1"/>
      <c r="J1241" s="1"/>
      <c r="L1241" s="1"/>
      <c r="M1241" s="1"/>
      <c r="O1241" s="2"/>
      <c r="P1241" s="2"/>
    </row>
    <row r="1242" spans="1:16" x14ac:dyDescent="0.25">
      <c r="A1242" s="2"/>
      <c r="B1242" s="2"/>
      <c r="F1242" s="1"/>
      <c r="G1242" s="1"/>
      <c r="I1242" s="1"/>
      <c r="J1242" s="1"/>
      <c r="L1242" s="1"/>
      <c r="M1242" s="1"/>
      <c r="O1242" s="2"/>
      <c r="P1242" s="2"/>
    </row>
    <row r="1243" spans="1:16" x14ac:dyDescent="0.25">
      <c r="A1243" s="2"/>
      <c r="B1243" s="2"/>
      <c r="F1243" s="1"/>
      <c r="G1243" s="1"/>
      <c r="I1243" s="1"/>
      <c r="J1243" s="1"/>
      <c r="L1243" s="1"/>
      <c r="M1243" s="1"/>
      <c r="O1243" s="2"/>
      <c r="P1243" s="2"/>
    </row>
    <row r="1244" spans="1:16" x14ac:dyDescent="0.25">
      <c r="A1244" s="2"/>
      <c r="B1244" s="2"/>
      <c r="F1244" s="1"/>
      <c r="G1244" s="1"/>
      <c r="I1244" s="1"/>
      <c r="J1244" s="1"/>
      <c r="L1244" s="1"/>
      <c r="M1244" s="1"/>
      <c r="O1244" s="2"/>
      <c r="P1244" s="2"/>
    </row>
    <row r="1245" spans="1:16" x14ac:dyDescent="0.25">
      <c r="A1245" s="2"/>
      <c r="B1245" s="2"/>
      <c r="F1245" s="1"/>
      <c r="G1245" s="1"/>
      <c r="I1245" s="1"/>
      <c r="J1245" s="1"/>
      <c r="L1245" s="1"/>
      <c r="M1245" s="1"/>
      <c r="O1245" s="2"/>
      <c r="P1245" s="2"/>
    </row>
    <row r="1246" spans="1:16" x14ac:dyDescent="0.25">
      <c r="A1246" s="2"/>
      <c r="B1246" s="2"/>
      <c r="F1246" s="1"/>
      <c r="G1246" s="1"/>
      <c r="I1246" s="1"/>
      <c r="J1246" s="1"/>
      <c r="L1246" s="1"/>
      <c r="M1246" s="1"/>
      <c r="O1246" s="2"/>
      <c r="P1246" s="2"/>
    </row>
    <row r="1247" spans="1:16" x14ac:dyDescent="0.25">
      <c r="A1247" s="2"/>
      <c r="B1247" s="2"/>
      <c r="F1247" s="1"/>
      <c r="G1247" s="1"/>
      <c r="I1247" s="1"/>
      <c r="J1247" s="1"/>
      <c r="L1247" s="1"/>
      <c r="M1247" s="1"/>
      <c r="O1247" s="2"/>
      <c r="P1247" s="2"/>
    </row>
    <row r="1248" spans="1:16" x14ac:dyDescent="0.25">
      <c r="A1248" s="2"/>
      <c r="B1248" s="2"/>
      <c r="F1248" s="1"/>
      <c r="G1248" s="1"/>
      <c r="I1248" s="1"/>
      <c r="J1248" s="1"/>
      <c r="L1248" s="1"/>
      <c r="M1248" s="1"/>
      <c r="O1248" s="2"/>
      <c r="P1248" s="2"/>
    </row>
    <row r="1249" spans="1:16" x14ac:dyDescent="0.25">
      <c r="A1249" s="2"/>
      <c r="B1249" s="2"/>
      <c r="F1249" s="1"/>
      <c r="G1249" s="1"/>
      <c r="I1249" s="1"/>
      <c r="J1249" s="1"/>
      <c r="L1249" s="1"/>
      <c r="M1249" s="1"/>
      <c r="O1249" s="2"/>
      <c r="P1249" s="2"/>
    </row>
    <row r="1250" spans="1:16" x14ac:dyDescent="0.25">
      <c r="A1250" s="2"/>
      <c r="B1250" s="2"/>
      <c r="F1250" s="1"/>
      <c r="G1250" s="1"/>
      <c r="I1250" s="1"/>
      <c r="J1250" s="1"/>
      <c r="L1250" s="1"/>
      <c r="M1250" s="1"/>
      <c r="O1250" s="2"/>
      <c r="P1250" s="2"/>
    </row>
    <row r="1251" spans="1:16" x14ac:dyDescent="0.25">
      <c r="A1251" s="2"/>
      <c r="B1251" s="2"/>
      <c r="F1251" s="1"/>
      <c r="G1251" s="1"/>
      <c r="I1251" s="1"/>
      <c r="J1251" s="1"/>
      <c r="L1251" s="1"/>
      <c r="M1251" s="1"/>
      <c r="O1251" s="2"/>
      <c r="P1251" s="2"/>
    </row>
    <row r="1252" spans="1:16" x14ac:dyDescent="0.25">
      <c r="A1252" s="2"/>
      <c r="B1252" s="2"/>
      <c r="F1252" s="1"/>
      <c r="G1252" s="1"/>
      <c r="I1252" s="1"/>
      <c r="J1252" s="1"/>
      <c r="L1252" s="1"/>
      <c r="M1252" s="1"/>
      <c r="O1252" s="2"/>
      <c r="P1252" s="2"/>
    </row>
    <row r="1253" spans="1:16" x14ac:dyDescent="0.25">
      <c r="A1253" s="2"/>
      <c r="B1253" s="2"/>
      <c r="F1253" s="1"/>
      <c r="G1253" s="1"/>
      <c r="I1253" s="1"/>
      <c r="J1253" s="1"/>
      <c r="L1253" s="1"/>
      <c r="M1253" s="1"/>
      <c r="O1253" s="2"/>
      <c r="P1253" s="2"/>
    </row>
    <row r="1254" spans="1:16" x14ac:dyDescent="0.25">
      <c r="A1254" s="2"/>
      <c r="B1254" s="2"/>
      <c r="F1254" s="1"/>
      <c r="G1254" s="1"/>
      <c r="I1254" s="1"/>
      <c r="J1254" s="1"/>
      <c r="L1254" s="1"/>
      <c r="M1254" s="1"/>
      <c r="O1254" s="2"/>
      <c r="P1254" s="2"/>
    </row>
    <row r="1255" spans="1:16" x14ac:dyDescent="0.25">
      <c r="A1255" s="2"/>
      <c r="B1255" s="2"/>
      <c r="F1255" s="1"/>
      <c r="G1255" s="1"/>
      <c r="I1255" s="1"/>
      <c r="J1255" s="1"/>
      <c r="L1255" s="1"/>
      <c r="M1255" s="1"/>
      <c r="O1255" s="2"/>
      <c r="P1255" s="2"/>
    </row>
    <row r="1256" spans="1:16" x14ac:dyDescent="0.25">
      <c r="A1256" s="2"/>
      <c r="B1256" s="2"/>
      <c r="F1256" s="1"/>
      <c r="G1256" s="1"/>
      <c r="I1256" s="1"/>
      <c r="J1256" s="1"/>
      <c r="L1256" s="1"/>
      <c r="M1256" s="1"/>
      <c r="O1256" s="2"/>
      <c r="P1256" s="2"/>
    </row>
    <row r="1257" spans="1:16" x14ac:dyDescent="0.25">
      <c r="A1257" s="2"/>
      <c r="B1257" s="2"/>
      <c r="F1257" s="1"/>
      <c r="G1257" s="1"/>
      <c r="I1257" s="1"/>
      <c r="J1257" s="1"/>
      <c r="L1257" s="1"/>
      <c r="M1257" s="1"/>
      <c r="O1257" s="2"/>
      <c r="P1257" s="2"/>
    </row>
    <row r="1258" spans="1:16" x14ac:dyDescent="0.25">
      <c r="A1258" s="2"/>
      <c r="B1258" s="2"/>
      <c r="F1258" s="1"/>
      <c r="G1258" s="1"/>
      <c r="I1258" s="1"/>
      <c r="J1258" s="1"/>
      <c r="L1258" s="1"/>
      <c r="M1258" s="1"/>
      <c r="O1258" s="2"/>
      <c r="P1258" s="2"/>
    </row>
    <row r="1259" spans="1:16" x14ac:dyDescent="0.25">
      <c r="A1259" s="2"/>
      <c r="B1259" s="2"/>
      <c r="F1259" s="1"/>
      <c r="G1259" s="1"/>
      <c r="I1259" s="1"/>
      <c r="J1259" s="1"/>
      <c r="L1259" s="1"/>
      <c r="M1259" s="1"/>
      <c r="O1259" s="2"/>
      <c r="P1259" s="2"/>
    </row>
    <row r="1260" spans="1:16" x14ac:dyDescent="0.25">
      <c r="A1260" s="2"/>
      <c r="B1260" s="2"/>
      <c r="F1260" s="1"/>
      <c r="G1260" s="1"/>
      <c r="I1260" s="1"/>
      <c r="J1260" s="1"/>
      <c r="L1260" s="1"/>
      <c r="M1260" s="1"/>
      <c r="O1260" s="2"/>
      <c r="P1260" s="2"/>
    </row>
    <row r="1261" spans="1:16" x14ac:dyDescent="0.25">
      <c r="A1261" s="2"/>
      <c r="B1261" s="2"/>
      <c r="F1261" s="1"/>
      <c r="G1261" s="1"/>
      <c r="I1261" s="1"/>
      <c r="J1261" s="1"/>
      <c r="L1261" s="1"/>
      <c r="M1261" s="1"/>
      <c r="O1261" s="2"/>
      <c r="P1261" s="2"/>
    </row>
    <row r="1262" spans="1:16" x14ac:dyDescent="0.25">
      <c r="A1262" s="2"/>
      <c r="B1262" s="2"/>
      <c r="F1262" s="1"/>
      <c r="G1262" s="1"/>
      <c r="I1262" s="1"/>
      <c r="J1262" s="1"/>
      <c r="L1262" s="1"/>
      <c r="M1262" s="1"/>
      <c r="O1262" s="2"/>
      <c r="P1262" s="2"/>
    </row>
    <row r="1263" spans="1:16" x14ac:dyDescent="0.25">
      <c r="A1263" s="2"/>
      <c r="B1263" s="2"/>
      <c r="F1263" s="1"/>
      <c r="G1263" s="1"/>
      <c r="I1263" s="1"/>
      <c r="J1263" s="1"/>
      <c r="L1263" s="1"/>
      <c r="M1263" s="1"/>
      <c r="O1263" s="2"/>
      <c r="P1263" s="2"/>
    </row>
    <row r="1264" spans="1:16" x14ac:dyDescent="0.25">
      <c r="A1264" s="2"/>
      <c r="B1264" s="2"/>
      <c r="F1264" s="1"/>
      <c r="G1264" s="1"/>
      <c r="I1264" s="1"/>
      <c r="J1264" s="1"/>
      <c r="L1264" s="1"/>
      <c r="M1264" s="1"/>
      <c r="O1264" s="2"/>
      <c r="P1264" s="2"/>
    </row>
    <row r="1265" spans="1:16" x14ac:dyDescent="0.25">
      <c r="A1265" s="2"/>
      <c r="B1265" s="2"/>
      <c r="F1265" s="1"/>
      <c r="G1265" s="1"/>
      <c r="I1265" s="1"/>
      <c r="J1265" s="1"/>
      <c r="L1265" s="1"/>
      <c r="M1265" s="1"/>
      <c r="O1265" s="2"/>
      <c r="P1265" s="2"/>
    </row>
    <row r="1266" spans="1:16" x14ac:dyDescent="0.25">
      <c r="A1266" s="2"/>
      <c r="B1266" s="2"/>
      <c r="F1266" s="1"/>
      <c r="G1266" s="1"/>
      <c r="I1266" s="1"/>
      <c r="J1266" s="1"/>
      <c r="L1266" s="1"/>
      <c r="M1266" s="1"/>
      <c r="O1266" s="2"/>
      <c r="P1266" s="2"/>
    </row>
    <row r="1267" spans="1:16" x14ac:dyDescent="0.25">
      <c r="A1267" s="2"/>
      <c r="B1267" s="2"/>
      <c r="F1267" s="1"/>
      <c r="G1267" s="1"/>
      <c r="I1267" s="1"/>
      <c r="J1267" s="1"/>
      <c r="L1267" s="1"/>
      <c r="M1267" s="1"/>
      <c r="O1267" s="2"/>
      <c r="P1267" s="2"/>
    </row>
    <row r="1268" spans="1:16" x14ac:dyDescent="0.25">
      <c r="A1268" s="2"/>
      <c r="B1268" s="2"/>
      <c r="F1268" s="1"/>
      <c r="G1268" s="1"/>
      <c r="I1268" s="1"/>
      <c r="J1268" s="1"/>
      <c r="L1268" s="1"/>
      <c r="M1268" s="1"/>
      <c r="O1268" s="2"/>
      <c r="P1268" s="2"/>
    </row>
    <row r="1269" spans="1:16" x14ac:dyDescent="0.25">
      <c r="A1269" s="2"/>
      <c r="B1269" s="2"/>
      <c r="F1269" s="1"/>
      <c r="G1269" s="1"/>
      <c r="I1269" s="1"/>
      <c r="J1269" s="1"/>
      <c r="L1269" s="1"/>
      <c r="M1269" s="1"/>
      <c r="O1269" s="2"/>
      <c r="P1269" s="2"/>
    </row>
    <row r="1270" spans="1:16" x14ac:dyDescent="0.25">
      <c r="A1270" s="2"/>
      <c r="B1270" s="2"/>
      <c r="F1270" s="1"/>
      <c r="G1270" s="1"/>
      <c r="I1270" s="1"/>
      <c r="J1270" s="1"/>
      <c r="L1270" s="1"/>
      <c r="M1270" s="1"/>
      <c r="O1270" s="2"/>
      <c r="P1270" s="2"/>
    </row>
    <row r="1271" spans="1:16" x14ac:dyDescent="0.25">
      <c r="A1271" s="2"/>
      <c r="B1271" s="2"/>
      <c r="F1271" s="1"/>
      <c r="G1271" s="1"/>
      <c r="I1271" s="1"/>
      <c r="J1271" s="1"/>
      <c r="L1271" s="1"/>
      <c r="M1271" s="1"/>
      <c r="O1271" s="2"/>
      <c r="P1271" s="2"/>
    </row>
    <row r="1272" spans="1:16" x14ac:dyDescent="0.25">
      <c r="A1272" s="2"/>
      <c r="B1272" s="2"/>
      <c r="F1272" s="1"/>
      <c r="G1272" s="1"/>
      <c r="I1272" s="1"/>
      <c r="J1272" s="1"/>
      <c r="L1272" s="1"/>
      <c r="M1272" s="1"/>
      <c r="O1272" s="2"/>
      <c r="P1272" s="2"/>
    </row>
    <row r="1273" spans="1:16" x14ac:dyDescent="0.25">
      <c r="A1273" s="2"/>
      <c r="B1273" s="2"/>
      <c r="F1273" s="1"/>
      <c r="G1273" s="1"/>
      <c r="I1273" s="1"/>
      <c r="J1273" s="1"/>
      <c r="L1273" s="1"/>
      <c r="M1273" s="1"/>
      <c r="O1273" s="2"/>
      <c r="P1273" s="2"/>
    </row>
    <row r="1274" spans="1:16" x14ac:dyDescent="0.25">
      <c r="A1274" s="2"/>
      <c r="B1274" s="2"/>
      <c r="F1274" s="1"/>
      <c r="G1274" s="1"/>
      <c r="I1274" s="1"/>
      <c r="J1274" s="1"/>
      <c r="L1274" s="1"/>
      <c r="M1274" s="1"/>
      <c r="O1274" s="2"/>
      <c r="P1274" s="2"/>
    </row>
    <row r="1275" spans="1:16" x14ac:dyDescent="0.25">
      <c r="A1275" s="2"/>
      <c r="B1275" s="2"/>
      <c r="F1275" s="1"/>
      <c r="G1275" s="1"/>
      <c r="I1275" s="1"/>
      <c r="J1275" s="1"/>
      <c r="L1275" s="1"/>
      <c r="M1275" s="1"/>
      <c r="O1275" s="2"/>
      <c r="P1275" s="2"/>
    </row>
    <row r="1276" spans="1:16" x14ac:dyDescent="0.25">
      <c r="A1276" s="2"/>
      <c r="B1276" s="2"/>
      <c r="F1276" s="1"/>
      <c r="G1276" s="1"/>
      <c r="I1276" s="1"/>
      <c r="J1276" s="1"/>
      <c r="L1276" s="1"/>
      <c r="M1276" s="1"/>
      <c r="O1276" s="2"/>
      <c r="P1276" s="2"/>
    </row>
    <row r="1277" spans="1:16" x14ac:dyDescent="0.25">
      <c r="A1277" s="2"/>
      <c r="B1277" s="2"/>
      <c r="F1277" s="1"/>
      <c r="G1277" s="1"/>
      <c r="I1277" s="1"/>
      <c r="J1277" s="1"/>
      <c r="L1277" s="1"/>
      <c r="M1277" s="1"/>
      <c r="O1277" s="2"/>
      <c r="P1277" s="2"/>
    </row>
    <row r="1278" spans="1:16" x14ac:dyDescent="0.25">
      <c r="A1278" s="2"/>
      <c r="B1278" s="2"/>
      <c r="F1278" s="1"/>
      <c r="G1278" s="1"/>
      <c r="I1278" s="1"/>
      <c r="J1278" s="1"/>
      <c r="L1278" s="1"/>
      <c r="M1278" s="1"/>
      <c r="O1278" s="2"/>
      <c r="P1278" s="2"/>
    </row>
    <row r="1279" spans="1:16" x14ac:dyDescent="0.25">
      <c r="A1279" s="2"/>
      <c r="B1279" s="2"/>
      <c r="F1279" s="1"/>
      <c r="G1279" s="1"/>
      <c r="I1279" s="1"/>
      <c r="J1279" s="1"/>
      <c r="L1279" s="1"/>
      <c r="M1279" s="1"/>
      <c r="O1279" s="2"/>
      <c r="P1279" s="2"/>
    </row>
    <row r="1280" spans="1:16" x14ac:dyDescent="0.25">
      <c r="A1280" s="2"/>
      <c r="B1280" s="2"/>
      <c r="F1280" s="1"/>
      <c r="G1280" s="1"/>
      <c r="I1280" s="1"/>
      <c r="J1280" s="1"/>
      <c r="L1280" s="1"/>
      <c r="M1280" s="1"/>
      <c r="O1280" s="2"/>
      <c r="P1280" s="2"/>
    </row>
    <row r="1281" spans="1:16" x14ac:dyDescent="0.25">
      <c r="A1281" s="2"/>
      <c r="B1281" s="2"/>
      <c r="F1281" s="1"/>
      <c r="G1281" s="1"/>
      <c r="I1281" s="1"/>
      <c r="J1281" s="1"/>
      <c r="L1281" s="1"/>
      <c r="M1281" s="1"/>
      <c r="O1281" s="2"/>
      <c r="P1281" s="2"/>
    </row>
    <row r="1282" spans="1:16" x14ac:dyDescent="0.25">
      <c r="A1282" s="2"/>
      <c r="B1282" s="2"/>
      <c r="F1282" s="1"/>
      <c r="G1282" s="1"/>
      <c r="I1282" s="1"/>
      <c r="J1282" s="1"/>
      <c r="L1282" s="1"/>
      <c r="M1282" s="1"/>
      <c r="O1282" s="2"/>
      <c r="P1282" s="2"/>
    </row>
    <row r="1283" spans="1:16" x14ac:dyDescent="0.25">
      <c r="A1283" s="2"/>
      <c r="B1283" s="2"/>
      <c r="F1283" s="1"/>
      <c r="G1283" s="1"/>
      <c r="I1283" s="1"/>
      <c r="J1283" s="1"/>
      <c r="L1283" s="1"/>
      <c r="M1283" s="1"/>
      <c r="O1283" s="2"/>
      <c r="P1283" s="2"/>
    </row>
    <row r="1284" spans="1:16" x14ac:dyDescent="0.25">
      <c r="A1284" s="2"/>
      <c r="B1284" s="2"/>
      <c r="F1284" s="1"/>
      <c r="G1284" s="1"/>
      <c r="I1284" s="1"/>
      <c r="J1284" s="1"/>
      <c r="L1284" s="1"/>
      <c r="M1284" s="1"/>
      <c r="O1284" s="2"/>
      <c r="P1284" s="2"/>
    </row>
    <row r="1285" spans="1:16" x14ac:dyDescent="0.25">
      <c r="A1285" s="2"/>
      <c r="B1285" s="2"/>
      <c r="F1285" s="1"/>
      <c r="G1285" s="1"/>
      <c r="I1285" s="1"/>
      <c r="J1285" s="1"/>
      <c r="L1285" s="1"/>
      <c r="M1285" s="1"/>
      <c r="O1285" s="2"/>
      <c r="P1285" s="2"/>
    </row>
    <row r="1286" spans="1:16" x14ac:dyDescent="0.25">
      <c r="A1286" s="2"/>
      <c r="B1286" s="2"/>
      <c r="F1286" s="1"/>
      <c r="G1286" s="1"/>
      <c r="I1286" s="1"/>
      <c r="J1286" s="1"/>
      <c r="L1286" s="1"/>
      <c r="M1286" s="1"/>
      <c r="O1286" s="2"/>
      <c r="P1286" s="2"/>
    </row>
    <row r="1287" spans="1:16" x14ac:dyDescent="0.25">
      <c r="A1287" s="2"/>
      <c r="B1287" s="2"/>
      <c r="F1287" s="1"/>
      <c r="G1287" s="1"/>
      <c r="I1287" s="1"/>
      <c r="J1287" s="1"/>
      <c r="L1287" s="1"/>
      <c r="M1287" s="1"/>
      <c r="O1287" s="2"/>
      <c r="P1287" s="2"/>
    </row>
    <row r="1288" spans="1:16" x14ac:dyDescent="0.25">
      <c r="A1288" s="2"/>
      <c r="B1288" s="2"/>
      <c r="F1288" s="1"/>
      <c r="G1288" s="1"/>
      <c r="I1288" s="1"/>
      <c r="J1288" s="1"/>
      <c r="L1288" s="1"/>
      <c r="M1288" s="1"/>
      <c r="O1288" s="2"/>
      <c r="P1288" s="2"/>
    </row>
    <row r="1289" spans="1:16" x14ac:dyDescent="0.25">
      <c r="A1289" s="2"/>
      <c r="B1289" s="2"/>
      <c r="F1289" s="1"/>
      <c r="G1289" s="1"/>
      <c r="I1289" s="1"/>
      <c r="J1289" s="1"/>
      <c r="L1289" s="1"/>
      <c r="M1289" s="1"/>
      <c r="O1289" s="2"/>
      <c r="P1289" s="2"/>
    </row>
    <row r="1290" spans="1:16" x14ac:dyDescent="0.25">
      <c r="A1290" s="2"/>
      <c r="B1290" s="2"/>
      <c r="F1290" s="1"/>
      <c r="G1290" s="1"/>
      <c r="I1290" s="1"/>
      <c r="J1290" s="1"/>
      <c r="L1290" s="1"/>
      <c r="M1290" s="1"/>
      <c r="O1290" s="2"/>
      <c r="P1290" s="2"/>
    </row>
    <row r="1291" spans="1:16" x14ac:dyDescent="0.25">
      <c r="A1291" s="2"/>
      <c r="B1291" s="2"/>
      <c r="F1291" s="1"/>
      <c r="G1291" s="1"/>
      <c r="I1291" s="1"/>
      <c r="J1291" s="1"/>
      <c r="L1291" s="1"/>
      <c r="M1291" s="1"/>
      <c r="O1291" s="2"/>
      <c r="P1291" s="2"/>
    </row>
    <row r="1292" spans="1:16" x14ac:dyDescent="0.25">
      <c r="A1292" s="2"/>
      <c r="B1292" s="2"/>
      <c r="F1292" s="1"/>
      <c r="G1292" s="1"/>
      <c r="I1292" s="1"/>
      <c r="J1292" s="1"/>
      <c r="L1292" s="1"/>
      <c r="M1292" s="1"/>
      <c r="O1292" s="2"/>
      <c r="P1292" s="2"/>
    </row>
    <row r="1293" spans="1:16" x14ac:dyDescent="0.25">
      <c r="A1293" s="2"/>
      <c r="B1293" s="2"/>
      <c r="F1293" s="1"/>
      <c r="G1293" s="1"/>
      <c r="I1293" s="1"/>
      <c r="J1293" s="1"/>
      <c r="L1293" s="1"/>
      <c r="M1293" s="1"/>
      <c r="O1293" s="2"/>
      <c r="P1293" s="2"/>
    </row>
    <row r="1294" spans="1:16" x14ac:dyDescent="0.25">
      <c r="A1294" s="2"/>
      <c r="B1294" s="2"/>
      <c r="F1294" s="1"/>
      <c r="G1294" s="1"/>
      <c r="I1294" s="1"/>
      <c r="J1294" s="1"/>
      <c r="L1294" s="1"/>
      <c r="M1294" s="1"/>
      <c r="O1294" s="2"/>
      <c r="P1294" s="2"/>
    </row>
    <row r="1295" spans="1:16" x14ac:dyDescent="0.25">
      <c r="A1295" s="2"/>
      <c r="B1295" s="2"/>
      <c r="F1295" s="1"/>
      <c r="G1295" s="1"/>
      <c r="I1295" s="1"/>
      <c r="J1295" s="1"/>
      <c r="L1295" s="1"/>
      <c r="M1295" s="1"/>
      <c r="O1295" s="2"/>
      <c r="P1295" s="2"/>
    </row>
    <row r="1296" spans="1:16" x14ac:dyDescent="0.25">
      <c r="A1296" s="2"/>
      <c r="B1296" s="2"/>
      <c r="F1296" s="1"/>
      <c r="G1296" s="1"/>
      <c r="I1296" s="1"/>
      <c r="J1296" s="1"/>
      <c r="L1296" s="1"/>
      <c r="M1296" s="1"/>
      <c r="O1296" s="2"/>
      <c r="P1296" s="2"/>
    </row>
    <row r="1297" spans="1:16" x14ac:dyDescent="0.25">
      <c r="A1297" s="2"/>
      <c r="B1297" s="2"/>
      <c r="F1297" s="1"/>
      <c r="G1297" s="1"/>
      <c r="I1297" s="1"/>
      <c r="J1297" s="1"/>
      <c r="L1297" s="1"/>
      <c r="M1297" s="1"/>
      <c r="O1297" s="2"/>
      <c r="P1297" s="2"/>
    </row>
    <row r="1298" spans="1:16" x14ac:dyDescent="0.25">
      <c r="A1298" s="2"/>
      <c r="B1298" s="2"/>
      <c r="F1298" s="1"/>
      <c r="G1298" s="1"/>
      <c r="I1298" s="1"/>
      <c r="J1298" s="1"/>
      <c r="L1298" s="1"/>
      <c r="M1298" s="1"/>
      <c r="O1298" s="2"/>
      <c r="P1298" s="2"/>
    </row>
    <row r="1299" spans="1:16" x14ac:dyDescent="0.25">
      <c r="A1299" s="2"/>
      <c r="B1299" s="2"/>
      <c r="F1299" s="1"/>
      <c r="G1299" s="1"/>
      <c r="I1299" s="1"/>
      <c r="J1299" s="1"/>
      <c r="L1299" s="1"/>
      <c r="M1299" s="1"/>
      <c r="O1299" s="2"/>
      <c r="P1299" s="2"/>
    </row>
    <row r="1300" spans="1:16" x14ac:dyDescent="0.25">
      <c r="A1300" s="2"/>
      <c r="B1300" s="2"/>
      <c r="F1300" s="1"/>
      <c r="G1300" s="1"/>
      <c r="I1300" s="1"/>
      <c r="J1300" s="1"/>
      <c r="L1300" s="1"/>
      <c r="M1300" s="1"/>
      <c r="O1300" s="2"/>
      <c r="P1300" s="2"/>
    </row>
    <row r="1301" spans="1:16" x14ac:dyDescent="0.25">
      <c r="A1301" s="2"/>
      <c r="B1301" s="2"/>
      <c r="F1301" s="1"/>
      <c r="G1301" s="1"/>
      <c r="I1301" s="1"/>
      <c r="J1301" s="1"/>
      <c r="L1301" s="1"/>
      <c r="M1301" s="1"/>
      <c r="O1301" s="2"/>
      <c r="P1301" s="2"/>
    </row>
    <row r="1302" spans="1:16" x14ac:dyDescent="0.25">
      <c r="A1302" s="2"/>
      <c r="B1302" s="2"/>
      <c r="F1302" s="1"/>
      <c r="G1302" s="1"/>
      <c r="I1302" s="1"/>
      <c r="J1302" s="1"/>
      <c r="L1302" s="1"/>
      <c r="M1302" s="1"/>
      <c r="O1302" s="2"/>
      <c r="P1302" s="2"/>
    </row>
    <row r="1303" spans="1:16" x14ac:dyDescent="0.25">
      <c r="A1303" s="2"/>
      <c r="B1303" s="2"/>
      <c r="F1303" s="1"/>
      <c r="G1303" s="1"/>
      <c r="I1303" s="1"/>
      <c r="J1303" s="1"/>
      <c r="L1303" s="1"/>
      <c r="M1303" s="1"/>
      <c r="O1303" s="2"/>
      <c r="P1303" s="2"/>
    </row>
    <row r="1304" spans="1:16" x14ac:dyDescent="0.25">
      <c r="A1304" s="2"/>
      <c r="B1304" s="2"/>
      <c r="F1304" s="1"/>
      <c r="G1304" s="1"/>
      <c r="I1304" s="1"/>
      <c r="J1304" s="1"/>
      <c r="L1304" s="1"/>
      <c r="M1304" s="1"/>
      <c r="O1304" s="2"/>
      <c r="P1304" s="2"/>
    </row>
    <row r="1305" spans="1:16" x14ac:dyDescent="0.25">
      <c r="A1305" s="2"/>
      <c r="B1305" s="2"/>
      <c r="F1305" s="1"/>
      <c r="G1305" s="1"/>
      <c r="I1305" s="1"/>
      <c r="J1305" s="1"/>
      <c r="L1305" s="1"/>
      <c r="M1305" s="1"/>
      <c r="O1305" s="2"/>
      <c r="P1305" s="2"/>
    </row>
    <row r="1306" spans="1:16" x14ac:dyDescent="0.25">
      <c r="A1306" s="2"/>
      <c r="B1306" s="2"/>
      <c r="F1306" s="1"/>
      <c r="G1306" s="1"/>
      <c r="I1306" s="1"/>
      <c r="J1306" s="1"/>
      <c r="L1306" s="1"/>
      <c r="M1306" s="1"/>
      <c r="O1306" s="2"/>
      <c r="P1306" s="2"/>
    </row>
    <row r="1307" spans="1:16" x14ac:dyDescent="0.25">
      <c r="A1307" s="2"/>
      <c r="B1307" s="2"/>
      <c r="F1307" s="1"/>
      <c r="G1307" s="1"/>
      <c r="I1307" s="1"/>
      <c r="J1307" s="1"/>
      <c r="L1307" s="1"/>
      <c r="M1307" s="1"/>
      <c r="O1307" s="2"/>
      <c r="P1307" s="2"/>
    </row>
    <row r="1308" spans="1:16" x14ac:dyDescent="0.25">
      <c r="A1308" s="2"/>
      <c r="B1308" s="2"/>
      <c r="F1308" s="1"/>
      <c r="G1308" s="1"/>
      <c r="I1308" s="1"/>
      <c r="J1308" s="1"/>
      <c r="L1308" s="1"/>
      <c r="M1308" s="1"/>
      <c r="O1308" s="2"/>
      <c r="P1308" s="2"/>
    </row>
    <row r="1309" spans="1:16" x14ac:dyDescent="0.25">
      <c r="A1309" s="2"/>
      <c r="B1309" s="2"/>
      <c r="F1309" s="1"/>
      <c r="G1309" s="1"/>
      <c r="I1309" s="1"/>
      <c r="J1309" s="1"/>
      <c r="L1309" s="1"/>
      <c r="M1309" s="1"/>
      <c r="O1309" s="2"/>
      <c r="P1309" s="2"/>
    </row>
    <row r="1310" spans="1:16" x14ac:dyDescent="0.25">
      <c r="A1310" s="2"/>
      <c r="B1310" s="2"/>
      <c r="F1310" s="1"/>
      <c r="G1310" s="1"/>
      <c r="I1310" s="1"/>
      <c r="J1310" s="1"/>
      <c r="L1310" s="1"/>
      <c r="M1310" s="1"/>
      <c r="O1310" s="2"/>
      <c r="P1310" s="2"/>
    </row>
    <row r="1311" spans="1:16" x14ac:dyDescent="0.25">
      <c r="A1311" s="2"/>
      <c r="B1311" s="2"/>
      <c r="F1311" s="1"/>
      <c r="G1311" s="1"/>
      <c r="I1311" s="1"/>
      <c r="J1311" s="1"/>
      <c r="L1311" s="1"/>
      <c r="M1311" s="1"/>
      <c r="O1311" s="2"/>
      <c r="P1311" s="2"/>
    </row>
    <row r="1312" spans="1:16" x14ac:dyDescent="0.25">
      <c r="A1312" s="2"/>
      <c r="B1312" s="2"/>
      <c r="F1312" s="1"/>
      <c r="G1312" s="1"/>
      <c r="I1312" s="1"/>
      <c r="J1312" s="1"/>
      <c r="L1312" s="1"/>
      <c r="M1312" s="1"/>
      <c r="O1312" s="2"/>
      <c r="P1312" s="2"/>
    </row>
    <row r="1313" spans="1:16" x14ac:dyDescent="0.25">
      <c r="A1313" s="2"/>
      <c r="B1313" s="2"/>
      <c r="F1313" s="1"/>
      <c r="G1313" s="1"/>
      <c r="I1313" s="1"/>
      <c r="J1313" s="1"/>
      <c r="L1313" s="1"/>
      <c r="M1313" s="1"/>
      <c r="O1313" s="2"/>
      <c r="P1313" s="2"/>
    </row>
    <row r="1314" spans="1:16" x14ac:dyDescent="0.25">
      <c r="A1314" s="2"/>
      <c r="B1314" s="2"/>
      <c r="F1314" s="1"/>
      <c r="G1314" s="1"/>
      <c r="I1314" s="1"/>
      <c r="J1314" s="1"/>
      <c r="L1314" s="1"/>
      <c r="M1314" s="1"/>
      <c r="O1314" s="2"/>
      <c r="P1314" s="2"/>
    </row>
    <row r="1315" spans="1:16" x14ac:dyDescent="0.25">
      <c r="A1315" s="2"/>
      <c r="B1315" s="2"/>
      <c r="F1315" s="1"/>
      <c r="G1315" s="1"/>
      <c r="I1315" s="1"/>
      <c r="J1315" s="1"/>
      <c r="L1315" s="1"/>
      <c r="M1315" s="1"/>
      <c r="O1315" s="2"/>
      <c r="P1315" s="2"/>
    </row>
    <row r="1316" spans="1:16" x14ac:dyDescent="0.25">
      <c r="A1316" s="2"/>
      <c r="B1316" s="2"/>
      <c r="F1316" s="1"/>
      <c r="G1316" s="1"/>
      <c r="I1316" s="1"/>
      <c r="J1316" s="1"/>
      <c r="L1316" s="1"/>
      <c r="M1316" s="1"/>
      <c r="O1316" s="2"/>
      <c r="P1316" s="2"/>
    </row>
    <row r="1317" spans="1:16" x14ac:dyDescent="0.25">
      <c r="A1317" s="2"/>
      <c r="B1317" s="2"/>
      <c r="F1317" s="1"/>
      <c r="G1317" s="1"/>
      <c r="I1317" s="1"/>
      <c r="J1317" s="1"/>
      <c r="L1317" s="1"/>
      <c r="M1317" s="1"/>
      <c r="O1317" s="2"/>
      <c r="P1317" s="2"/>
    </row>
    <row r="1318" spans="1:16" x14ac:dyDescent="0.25">
      <c r="A1318" s="2"/>
      <c r="B1318" s="2"/>
      <c r="F1318" s="1"/>
      <c r="G1318" s="1"/>
      <c r="I1318" s="1"/>
      <c r="J1318" s="1"/>
      <c r="L1318" s="1"/>
      <c r="M1318" s="1"/>
      <c r="O1318" s="2"/>
      <c r="P1318" s="2"/>
    </row>
    <row r="1319" spans="1:16" x14ac:dyDescent="0.25">
      <c r="A1319" s="2"/>
      <c r="B1319" s="2"/>
      <c r="F1319" s="1"/>
      <c r="G1319" s="1"/>
      <c r="I1319" s="1"/>
      <c r="J1319" s="1"/>
      <c r="L1319" s="1"/>
      <c r="M1319" s="1"/>
      <c r="O1319" s="2"/>
      <c r="P1319" s="2"/>
    </row>
    <row r="1320" spans="1:16" x14ac:dyDescent="0.25">
      <c r="A1320" s="2"/>
      <c r="B1320" s="2"/>
      <c r="F1320" s="1"/>
      <c r="G1320" s="1"/>
      <c r="I1320" s="1"/>
      <c r="J1320" s="1"/>
      <c r="L1320" s="1"/>
      <c r="M1320" s="1"/>
      <c r="O1320" s="2"/>
      <c r="P1320" s="2"/>
    </row>
    <row r="1321" spans="1:16" x14ac:dyDescent="0.25">
      <c r="A1321" s="2"/>
      <c r="B1321" s="2"/>
      <c r="F1321" s="1"/>
      <c r="G1321" s="1"/>
      <c r="I1321" s="1"/>
      <c r="J1321" s="1"/>
      <c r="L1321" s="1"/>
      <c r="M1321" s="1"/>
      <c r="O1321" s="2"/>
      <c r="P1321" s="2"/>
    </row>
    <row r="1322" spans="1:16" x14ac:dyDescent="0.25">
      <c r="A1322" s="2"/>
      <c r="B1322" s="2"/>
      <c r="F1322" s="1"/>
      <c r="G1322" s="1"/>
      <c r="I1322" s="1"/>
      <c r="J1322" s="1"/>
      <c r="L1322" s="1"/>
      <c r="M1322" s="1"/>
      <c r="O1322" s="2"/>
      <c r="P1322" s="2"/>
    </row>
    <row r="1323" spans="1:16" x14ac:dyDescent="0.25">
      <c r="A1323" s="2"/>
      <c r="B1323" s="2"/>
      <c r="F1323" s="1"/>
      <c r="G1323" s="1"/>
      <c r="I1323" s="1"/>
      <c r="J1323" s="1"/>
      <c r="L1323" s="1"/>
      <c r="M1323" s="1"/>
      <c r="O1323" s="2"/>
      <c r="P1323" s="2"/>
    </row>
    <row r="1324" spans="1:16" x14ac:dyDescent="0.25">
      <c r="A1324" s="2"/>
      <c r="B1324" s="2"/>
      <c r="F1324" s="1"/>
      <c r="G1324" s="1"/>
      <c r="I1324" s="1"/>
      <c r="J1324" s="1"/>
      <c r="L1324" s="1"/>
      <c r="M1324" s="1"/>
      <c r="O1324" s="2"/>
      <c r="P1324" s="2"/>
    </row>
    <row r="1325" spans="1:16" x14ac:dyDescent="0.25">
      <c r="A1325" s="2"/>
      <c r="B1325" s="2"/>
      <c r="F1325" s="1"/>
      <c r="G1325" s="1"/>
      <c r="I1325" s="1"/>
      <c r="J1325" s="1"/>
      <c r="L1325" s="1"/>
      <c r="M1325" s="1"/>
      <c r="O1325" s="2"/>
      <c r="P1325" s="2"/>
    </row>
    <row r="1326" spans="1:16" x14ac:dyDescent="0.25">
      <c r="A1326" s="2"/>
      <c r="B1326" s="2"/>
      <c r="F1326" s="1"/>
      <c r="G1326" s="1"/>
      <c r="I1326" s="1"/>
      <c r="J1326" s="1"/>
      <c r="L1326" s="1"/>
      <c r="M1326" s="1"/>
      <c r="O1326" s="2"/>
      <c r="P1326" s="2"/>
    </row>
    <row r="1327" spans="1:16" x14ac:dyDescent="0.25">
      <c r="A1327" s="2"/>
      <c r="B1327" s="2"/>
      <c r="F1327" s="1"/>
      <c r="G1327" s="1"/>
      <c r="I1327" s="1"/>
      <c r="J1327" s="1"/>
      <c r="L1327" s="1"/>
      <c r="M1327" s="1"/>
      <c r="O1327" s="2"/>
      <c r="P1327" s="2"/>
    </row>
    <row r="1328" spans="1:16" x14ac:dyDescent="0.25">
      <c r="A1328" s="2"/>
      <c r="B1328" s="2"/>
      <c r="F1328" s="1"/>
      <c r="G1328" s="1"/>
      <c r="I1328" s="1"/>
      <c r="J1328" s="1"/>
      <c r="L1328" s="1"/>
      <c r="M1328" s="1"/>
      <c r="O1328" s="2"/>
      <c r="P1328" s="2"/>
    </row>
    <row r="1329" spans="1:16" x14ac:dyDescent="0.25">
      <c r="A1329" s="2"/>
      <c r="B1329" s="2"/>
      <c r="F1329" s="1"/>
      <c r="G1329" s="1"/>
      <c r="I1329" s="1"/>
      <c r="J1329" s="1"/>
      <c r="L1329" s="1"/>
      <c r="M1329" s="1"/>
      <c r="O1329" s="2"/>
      <c r="P1329" s="2"/>
    </row>
    <row r="1330" spans="1:16" x14ac:dyDescent="0.25">
      <c r="A1330" s="2"/>
      <c r="B1330" s="2"/>
      <c r="F1330" s="1"/>
      <c r="G1330" s="1"/>
      <c r="I1330" s="1"/>
      <c r="J1330" s="1"/>
      <c r="L1330" s="1"/>
      <c r="M1330" s="1"/>
      <c r="O1330" s="2"/>
      <c r="P1330" s="2"/>
    </row>
    <row r="1331" spans="1:16" x14ac:dyDescent="0.25">
      <c r="A1331" s="2"/>
      <c r="B1331" s="2"/>
      <c r="F1331" s="1"/>
      <c r="G1331" s="1"/>
      <c r="I1331" s="1"/>
      <c r="J1331" s="1"/>
      <c r="L1331" s="1"/>
      <c r="M1331" s="1"/>
      <c r="O1331" s="2"/>
      <c r="P1331" s="2"/>
    </row>
    <row r="1332" spans="1:16" x14ac:dyDescent="0.25">
      <c r="A1332" s="2"/>
      <c r="B1332" s="2"/>
      <c r="F1332" s="1"/>
      <c r="G1332" s="1"/>
      <c r="I1332" s="1"/>
      <c r="J1332" s="1"/>
      <c r="L1332" s="1"/>
      <c r="M1332" s="1"/>
      <c r="O1332" s="2"/>
      <c r="P1332" s="2"/>
    </row>
    <row r="1333" spans="1:16" x14ac:dyDescent="0.25">
      <c r="A1333" s="2"/>
      <c r="B1333" s="2"/>
      <c r="F1333" s="1"/>
      <c r="G1333" s="1"/>
      <c r="I1333" s="1"/>
      <c r="J1333" s="1"/>
      <c r="L1333" s="1"/>
      <c r="M1333" s="1"/>
      <c r="O1333" s="2"/>
      <c r="P1333" s="2"/>
    </row>
    <row r="1334" spans="1:16" x14ac:dyDescent="0.25">
      <c r="A1334" s="2"/>
      <c r="B1334" s="2"/>
      <c r="F1334" s="1"/>
      <c r="G1334" s="1"/>
      <c r="I1334" s="1"/>
      <c r="J1334" s="1"/>
      <c r="L1334" s="1"/>
      <c r="M1334" s="1"/>
      <c r="O1334" s="2"/>
      <c r="P1334" s="2"/>
    </row>
    <row r="1335" spans="1:16" x14ac:dyDescent="0.25">
      <c r="A1335" s="2"/>
      <c r="B1335" s="2"/>
      <c r="F1335" s="1"/>
      <c r="G1335" s="1"/>
      <c r="I1335" s="1"/>
      <c r="J1335" s="1"/>
      <c r="L1335" s="1"/>
      <c r="M1335" s="1"/>
      <c r="O1335" s="2"/>
      <c r="P1335" s="2"/>
    </row>
    <row r="1336" spans="1:16" x14ac:dyDescent="0.25">
      <c r="A1336" s="2"/>
      <c r="B1336" s="2"/>
      <c r="F1336" s="1"/>
      <c r="G1336" s="1"/>
      <c r="I1336" s="1"/>
      <c r="J1336" s="1"/>
      <c r="L1336" s="1"/>
      <c r="M1336" s="1"/>
      <c r="O1336" s="2"/>
      <c r="P1336" s="2"/>
    </row>
    <row r="1337" spans="1:16" x14ac:dyDescent="0.25">
      <c r="A1337" s="2"/>
      <c r="B1337" s="2"/>
      <c r="F1337" s="1"/>
      <c r="G1337" s="1"/>
      <c r="I1337" s="1"/>
      <c r="J1337" s="1"/>
      <c r="L1337" s="1"/>
      <c r="M1337" s="1"/>
      <c r="O1337" s="2"/>
      <c r="P1337" s="2"/>
    </row>
    <row r="1338" spans="1:16" x14ac:dyDescent="0.25">
      <c r="A1338" s="2"/>
      <c r="B1338" s="2"/>
      <c r="F1338" s="1"/>
      <c r="G1338" s="1"/>
      <c r="I1338" s="1"/>
      <c r="J1338" s="1"/>
      <c r="L1338" s="1"/>
      <c r="M1338" s="1"/>
      <c r="O1338" s="2"/>
      <c r="P1338" s="2"/>
    </row>
    <row r="1339" spans="1:16" x14ac:dyDescent="0.25">
      <c r="A1339" s="2"/>
      <c r="B1339" s="2"/>
      <c r="F1339" s="1"/>
      <c r="G1339" s="1"/>
      <c r="I1339" s="1"/>
      <c r="J1339" s="1"/>
      <c r="L1339" s="1"/>
      <c r="M1339" s="1"/>
      <c r="O1339" s="2"/>
      <c r="P1339" s="2"/>
    </row>
    <row r="1340" spans="1:16" x14ac:dyDescent="0.25">
      <c r="A1340" s="2"/>
      <c r="B1340" s="2"/>
      <c r="F1340" s="1"/>
      <c r="G1340" s="1"/>
      <c r="I1340" s="1"/>
      <c r="J1340" s="1"/>
      <c r="L1340" s="1"/>
      <c r="M1340" s="1"/>
      <c r="O1340" s="2"/>
      <c r="P1340" s="2"/>
    </row>
    <row r="1341" spans="1:16" x14ac:dyDescent="0.25">
      <c r="A1341" s="2"/>
      <c r="B1341" s="2"/>
      <c r="F1341" s="1"/>
      <c r="G1341" s="1"/>
      <c r="I1341" s="1"/>
      <c r="J1341" s="1"/>
      <c r="L1341" s="1"/>
      <c r="M1341" s="1"/>
      <c r="O1341" s="2"/>
      <c r="P1341" s="2"/>
    </row>
    <row r="1342" spans="1:16" x14ac:dyDescent="0.25">
      <c r="A1342" s="2"/>
      <c r="B1342" s="2"/>
      <c r="F1342" s="1"/>
      <c r="G1342" s="1"/>
      <c r="I1342" s="1"/>
      <c r="J1342" s="1"/>
      <c r="L1342" s="1"/>
      <c r="M1342" s="1"/>
      <c r="O1342" s="2"/>
      <c r="P1342" s="2"/>
    </row>
    <row r="1343" spans="1:16" x14ac:dyDescent="0.25">
      <c r="A1343" s="2"/>
      <c r="B1343" s="2"/>
      <c r="F1343" s="1"/>
      <c r="G1343" s="1"/>
      <c r="I1343" s="1"/>
      <c r="J1343" s="1"/>
      <c r="L1343" s="1"/>
      <c r="M1343" s="1"/>
      <c r="O1343" s="2"/>
      <c r="P1343" s="2"/>
    </row>
    <row r="1344" spans="1:16" x14ac:dyDescent="0.25">
      <c r="A1344" s="2"/>
      <c r="B1344" s="2"/>
      <c r="F1344" s="1"/>
      <c r="G1344" s="1"/>
      <c r="I1344" s="1"/>
      <c r="J1344" s="1"/>
      <c r="L1344" s="1"/>
      <c r="M1344" s="1"/>
      <c r="O1344" s="2"/>
      <c r="P1344" s="2"/>
    </row>
    <row r="1345" spans="1:16" x14ac:dyDescent="0.25">
      <c r="A1345" s="2"/>
      <c r="B1345" s="2"/>
      <c r="F1345" s="1"/>
      <c r="G1345" s="1"/>
      <c r="I1345" s="1"/>
      <c r="J1345" s="1"/>
      <c r="L1345" s="1"/>
      <c r="M1345" s="1"/>
      <c r="O1345" s="2"/>
      <c r="P1345" s="2"/>
    </row>
    <row r="1346" spans="1:16" x14ac:dyDescent="0.25">
      <c r="A1346" s="2"/>
      <c r="B1346" s="2"/>
      <c r="F1346" s="1"/>
      <c r="G1346" s="1"/>
      <c r="I1346" s="1"/>
      <c r="J1346" s="1"/>
      <c r="L1346" s="1"/>
      <c r="M1346" s="1"/>
      <c r="O1346" s="2"/>
      <c r="P1346" s="2"/>
    </row>
    <row r="1347" spans="1:16" x14ac:dyDescent="0.25">
      <c r="A1347" s="2"/>
      <c r="B1347" s="2"/>
      <c r="F1347" s="1"/>
      <c r="G1347" s="1"/>
      <c r="I1347" s="1"/>
      <c r="J1347" s="1"/>
      <c r="L1347" s="1"/>
      <c r="M1347" s="1"/>
      <c r="O1347" s="2"/>
      <c r="P1347" s="2"/>
    </row>
    <row r="1348" spans="1:16" x14ac:dyDescent="0.25">
      <c r="A1348" s="2"/>
      <c r="B1348" s="2"/>
      <c r="F1348" s="1"/>
      <c r="G1348" s="1"/>
      <c r="I1348" s="1"/>
      <c r="J1348" s="1"/>
      <c r="L1348" s="1"/>
      <c r="M1348" s="1"/>
      <c r="O1348" s="2"/>
      <c r="P1348" s="2"/>
    </row>
    <row r="1349" spans="1:16" x14ac:dyDescent="0.25">
      <c r="A1349" s="2"/>
      <c r="B1349" s="2"/>
      <c r="F1349" s="1"/>
      <c r="G1349" s="1"/>
      <c r="I1349" s="1"/>
      <c r="J1349" s="1"/>
      <c r="L1349" s="1"/>
      <c r="M1349" s="1"/>
      <c r="O1349" s="2"/>
      <c r="P1349" s="2"/>
    </row>
    <row r="1350" spans="1:16" x14ac:dyDescent="0.25">
      <c r="A1350" s="2"/>
      <c r="B1350" s="2"/>
      <c r="F1350" s="1"/>
      <c r="G1350" s="1"/>
      <c r="I1350" s="1"/>
      <c r="J1350" s="1"/>
      <c r="L1350" s="1"/>
      <c r="M1350" s="1"/>
      <c r="O1350" s="2"/>
      <c r="P1350" s="2"/>
    </row>
    <row r="1351" spans="1:16" x14ac:dyDescent="0.25">
      <c r="A1351" s="2"/>
      <c r="B1351" s="2"/>
      <c r="F1351" s="1"/>
      <c r="G1351" s="1"/>
      <c r="I1351" s="1"/>
      <c r="J1351" s="1"/>
      <c r="L1351" s="1"/>
      <c r="M1351" s="1"/>
      <c r="O1351" s="2"/>
      <c r="P1351" s="2"/>
    </row>
    <row r="1352" spans="1:16" x14ac:dyDescent="0.25">
      <c r="A1352" s="2"/>
      <c r="B1352" s="2"/>
      <c r="F1352" s="1"/>
      <c r="G1352" s="1"/>
      <c r="I1352" s="1"/>
      <c r="J1352" s="1"/>
      <c r="L1352" s="1"/>
      <c r="M1352" s="1"/>
      <c r="O1352" s="2"/>
      <c r="P1352" s="2"/>
    </row>
    <row r="1353" spans="1:16" x14ac:dyDescent="0.25">
      <c r="A1353" s="2"/>
      <c r="B1353" s="2"/>
      <c r="F1353" s="1"/>
      <c r="G1353" s="1"/>
      <c r="I1353" s="1"/>
      <c r="J1353" s="1"/>
      <c r="L1353" s="1"/>
      <c r="M1353" s="1"/>
      <c r="O1353" s="2"/>
      <c r="P1353" s="2"/>
    </row>
    <row r="1354" spans="1:16" x14ac:dyDescent="0.25">
      <c r="A1354" s="2"/>
      <c r="B1354" s="2"/>
      <c r="F1354" s="1"/>
      <c r="G1354" s="1"/>
      <c r="I1354" s="1"/>
      <c r="J1354" s="1"/>
      <c r="L1354" s="1"/>
      <c r="M1354" s="1"/>
      <c r="O1354" s="2"/>
      <c r="P1354" s="2"/>
    </row>
    <row r="1355" spans="1:16" x14ac:dyDescent="0.25">
      <c r="A1355" s="2"/>
      <c r="B1355" s="2"/>
      <c r="F1355" s="1"/>
      <c r="G1355" s="1"/>
      <c r="I1355" s="1"/>
      <c r="J1355" s="1"/>
      <c r="L1355" s="1"/>
      <c r="M1355" s="1"/>
      <c r="O1355" s="2"/>
      <c r="P1355" s="2"/>
    </row>
    <row r="1356" spans="1:16" x14ac:dyDescent="0.25">
      <c r="A1356" s="2"/>
      <c r="B1356" s="2"/>
      <c r="F1356" s="1"/>
      <c r="G1356" s="1"/>
      <c r="I1356" s="1"/>
      <c r="J1356" s="1"/>
      <c r="L1356" s="1"/>
      <c r="M1356" s="1"/>
      <c r="O1356" s="2"/>
      <c r="P1356" s="2"/>
    </row>
    <row r="1357" spans="1:16" x14ac:dyDescent="0.25">
      <c r="A1357" s="2"/>
      <c r="B1357" s="2"/>
      <c r="F1357" s="1"/>
      <c r="G1357" s="1"/>
      <c r="I1357" s="1"/>
      <c r="J1357" s="1"/>
      <c r="L1357" s="1"/>
      <c r="M1357" s="1"/>
      <c r="O1357" s="2"/>
      <c r="P1357" s="2"/>
    </row>
    <row r="1358" spans="1:16" x14ac:dyDescent="0.25">
      <c r="A1358" s="2"/>
      <c r="B1358" s="2"/>
      <c r="F1358" s="1"/>
      <c r="G1358" s="1"/>
      <c r="I1358" s="1"/>
      <c r="J1358" s="1"/>
      <c r="L1358" s="1"/>
      <c r="M1358" s="1"/>
      <c r="O1358" s="2"/>
      <c r="P1358" s="2"/>
    </row>
    <row r="1359" spans="1:16" x14ac:dyDescent="0.25">
      <c r="A1359" s="2"/>
      <c r="B1359" s="2"/>
      <c r="F1359" s="1"/>
      <c r="G1359" s="1"/>
      <c r="I1359" s="1"/>
      <c r="J1359" s="1"/>
      <c r="L1359" s="1"/>
      <c r="M1359" s="1"/>
      <c r="O1359" s="2"/>
      <c r="P1359" s="2"/>
    </row>
    <row r="1360" spans="1:16" x14ac:dyDescent="0.25">
      <c r="A1360" s="2"/>
      <c r="B1360" s="2"/>
      <c r="F1360" s="1"/>
      <c r="G1360" s="1"/>
      <c r="I1360" s="1"/>
      <c r="J1360" s="1"/>
      <c r="L1360" s="1"/>
      <c r="M1360" s="1"/>
      <c r="O1360" s="2"/>
      <c r="P1360" s="2"/>
    </row>
    <row r="1361" spans="1:16" x14ac:dyDescent="0.25">
      <c r="A1361" s="2"/>
      <c r="B1361" s="2"/>
      <c r="F1361" s="1"/>
      <c r="G1361" s="1"/>
      <c r="I1361" s="1"/>
      <c r="J1361" s="1"/>
      <c r="L1361" s="1"/>
      <c r="M1361" s="1"/>
      <c r="O1361" s="2"/>
      <c r="P1361" s="2"/>
    </row>
    <row r="1362" spans="1:16" x14ac:dyDescent="0.25">
      <c r="A1362" s="2"/>
      <c r="B1362" s="2"/>
      <c r="F1362" s="1"/>
      <c r="G1362" s="1"/>
      <c r="I1362" s="1"/>
      <c r="J1362" s="1"/>
      <c r="L1362" s="1"/>
      <c r="M1362" s="1"/>
      <c r="O1362" s="2"/>
      <c r="P1362" s="2"/>
    </row>
    <row r="1363" spans="1:16" x14ac:dyDescent="0.25">
      <c r="A1363" s="2"/>
      <c r="B1363" s="2"/>
      <c r="F1363" s="1"/>
      <c r="G1363" s="1"/>
      <c r="I1363" s="1"/>
      <c r="J1363" s="1"/>
      <c r="L1363" s="1"/>
      <c r="M1363" s="1"/>
      <c r="O1363" s="2"/>
      <c r="P1363" s="2"/>
    </row>
    <row r="1364" spans="1:16" x14ac:dyDescent="0.25">
      <c r="A1364" s="2"/>
      <c r="B1364" s="2"/>
      <c r="F1364" s="1"/>
      <c r="G1364" s="1"/>
      <c r="I1364" s="1"/>
      <c r="J1364" s="1"/>
      <c r="L1364" s="1"/>
      <c r="M1364" s="1"/>
      <c r="O1364" s="2"/>
      <c r="P1364" s="2"/>
    </row>
    <row r="1365" spans="1:16" x14ac:dyDescent="0.25">
      <c r="A1365" s="2"/>
      <c r="B1365" s="2"/>
      <c r="F1365" s="1"/>
      <c r="G1365" s="1"/>
      <c r="I1365" s="1"/>
      <c r="J1365" s="1"/>
      <c r="L1365" s="1"/>
      <c r="M1365" s="1"/>
      <c r="O1365" s="2"/>
      <c r="P1365" s="2"/>
    </row>
    <row r="1366" spans="1:16" x14ac:dyDescent="0.25">
      <c r="A1366" s="2"/>
      <c r="B1366" s="2"/>
      <c r="F1366" s="1"/>
      <c r="G1366" s="1"/>
      <c r="I1366" s="1"/>
      <c r="J1366" s="1"/>
      <c r="L1366" s="1"/>
      <c r="M1366" s="1"/>
      <c r="O1366" s="2"/>
      <c r="P1366" s="2"/>
    </row>
    <row r="1367" spans="1:16" x14ac:dyDescent="0.25">
      <c r="A1367" s="2"/>
      <c r="B1367" s="2"/>
      <c r="F1367" s="1"/>
      <c r="G1367" s="1"/>
      <c r="I1367" s="1"/>
      <c r="J1367" s="1"/>
      <c r="L1367" s="1"/>
      <c r="M1367" s="1"/>
      <c r="O1367" s="2"/>
      <c r="P1367" s="2"/>
    </row>
    <row r="1368" spans="1:16" x14ac:dyDescent="0.25">
      <c r="A1368" s="2"/>
      <c r="B1368" s="2"/>
      <c r="F1368" s="1"/>
      <c r="G1368" s="1"/>
      <c r="I1368" s="1"/>
      <c r="J1368" s="1"/>
      <c r="L1368" s="1"/>
      <c r="M1368" s="1"/>
      <c r="O1368" s="2"/>
      <c r="P1368" s="2"/>
    </row>
    <row r="1369" spans="1:16" x14ac:dyDescent="0.25">
      <c r="A1369" s="2"/>
      <c r="B1369" s="2"/>
      <c r="F1369" s="1"/>
      <c r="G1369" s="1"/>
      <c r="I1369" s="1"/>
      <c r="J1369" s="1"/>
      <c r="L1369" s="1"/>
      <c r="M1369" s="1"/>
      <c r="O1369" s="2"/>
      <c r="P1369" s="2"/>
    </row>
    <row r="1370" spans="1:16" x14ac:dyDescent="0.25">
      <c r="A1370" s="2"/>
      <c r="B1370" s="2"/>
      <c r="F1370" s="1"/>
      <c r="G1370" s="1"/>
      <c r="I1370" s="1"/>
      <c r="J1370" s="1"/>
      <c r="L1370" s="1"/>
      <c r="M1370" s="1"/>
      <c r="O1370" s="2"/>
      <c r="P1370" s="2"/>
    </row>
    <row r="1371" spans="1:16" x14ac:dyDescent="0.25">
      <c r="A1371" s="2"/>
      <c r="B1371" s="2"/>
      <c r="F1371" s="1"/>
      <c r="G1371" s="1"/>
      <c r="I1371" s="1"/>
      <c r="J1371" s="1"/>
      <c r="L1371" s="1"/>
      <c r="M1371" s="1"/>
      <c r="O1371" s="2"/>
      <c r="P1371" s="2"/>
    </row>
    <row r="1372" spans="1:16" x14ac:dyDescent="0.25">
      <c r="A1372" s="2"/>
      <c r="B1372" s="2"/>
      <c r="F1372" s="1"/>
      <c r="G1372" s="1"/>
      <c r="I1372" s="1"/>
      <c r="J1372" s="1"/>
      <c r="L1372" s="1"/>
      <c r="M1372" s="1"/>
      <c r="O1372" s="2"/>
      <c r="P1372" s="2"/>
    </row>
    <row r="1373" spans="1:16" x14ac:dyDescent="0.25">
      <c r="A1373" s="2"/>
      <c r="B1373" s="2"/>
      <c r="F1373" s="1"/>
      <c r="G1373" s="1"/>
      <c r="I1373" s="1"/>
      <c r="J1373" s="1"/>
      <c r="L1373" s="1"/>
      <c r="M1373" s="1"/>
      <c r="O1373" s="2"/>
      <c r="P1373" s="2"/>
    </row>
    <row r="1374" spans="1:16" x14ac:dyDescent="0.25">
      <c r="A1374" s="2"/>
      <c r="B1374" s="2"/>
      <c r="F1374" s="1"/>
      <c r="G1374" s="1"/>
      <c r="I1374" s="1"/>
      <c r="J1374" s="1"/>
      <c r="L1374" s="1"/>
      <c r="M1374" s="1"/>
      <c r="O1374" s="2"/>
      <c r="P1374" s="2"/>
    </row>
    <row r="1375" spans="1:16" x14ac:dyDescent="0.25">
      <c r="A1375" s="2"/>
      <c r="B1375" s="2"/>
      <c r="F1375" s="1"/>
      <c r="G1375" s="1"/>
      <c r="I1375" s="1"/>
      <c r="J1375" s="1"/>
      <c r="L1375" s="1"/>
      <c r="M1375" s="1"/>
      <c r="O1375" s="2"/>
      <c r="P1375" s="2"/>
    </row>
    <row r="1376" spans="1:16" x14ac:dyDescent="0.25">
      <c r="A1376" s="2"/>
      <c r="B1376" s="2"/>
      <c r="F1376" s="1"/>
      <c r="G1376" s="1"/>
      <c r="I1376" s="1"/>
      <c r="J1376" s="1"/>
      <c r="L1376" s="1"/>
      <c r="M1376" s="1"/>
      <c r="O1376" s="2"/>
      <c r="P1376" s="2"/>
    </row>
    <row r="1377" spans="1:16" x14ac:dyDescent="0.25">
      <c r="A1377" s="2"/>
      <c r="B1377" s="2"/>
      <c r="F1377" s="1"/>
      <c r="G1377" s="1"/>
      <c r="I1377" s="1"/>
      <c r="J1377" s="1"/>
      <c r="L1377" s="1"/>
      <c r="M1377" s="1"/>
      <c r="O1377" s="2"/>
      <c r="P1377" s="2"/>
    </row>
    <row r="1378" spans="1:16" x14ac:dyDescent="0.25">
      <c r="A1378" s="2"/>
      <c r="B1378" s="2"/>
      <c r="F1378" s="1"/>
      <c r="G1378" s="1"/>
      <c r="I1378" s="1"/>
      <c r="J1378" s="1"/>
      <c r="L1378" s="1"/>
      <c r="M1378" s="1"/>
      <c r="O1378" s="2"/>
      <c r="P1378" s="2"/>
    </row>
    <row r="1379" spans="1:16" x14ac:dyDescent="0.25">
      <c r="A1379" s="2"/>
      <c r="B1379" s="2"/>
      <c r="F1379" s="1"/>
      <c r="G1379" s="1"/>
      <c r="I1379" s="1"/>
      <c r="J1379" s="1"/>
      <c r="L1379" s="1"/>
      <c r="M1379" s="1"/>
      <c r="O1379" s="2"/>
      <c r="P1379" s="2"/>
    </row>
    <row r="1380" spans="1:16" x14ac:dyDescent="0.25">
      <c r="A1380" s="2"/>
      <c r="B1380" s="2"/>
      <c r="F1380" s="1"/>
      <c r="G1380" s="1"/>
      <c r="I1380" s="1"/>
      <c r="J1380" s="1"/>
      <c r="L1380" s="1"/>
      <c r="M1380" s="1"/>
      <c r="O1380" s="2"/>
      <c r="P1380" s="2"/>
    </row>
    <row r="1381" spans="1:16" x14ac:dyDescent="0.25">
      <c r="A1381" s="2"/>
      <c r="B1381" s="2"/>
      <c r="F1381" s="1"/>
      <c r="G1381" s="1"/>
      <c r="I1381" s="1"/>
      <c r="J1381" s="1"/>
      <c r="L1381" s="1"/>
      <c r="M1381" s="1"/>
      <c r="O1381" s="2"/>
      <c r="P1381" s="2"/>
    </row>
    <row r="1382" spans="1:16" x14ac:dyDescent="0.25">
      <c r="A1382" s="2"/>
      <c r="B1382" s="2"/>
      <c r="F1382" s="1"/>
      <c r="G1382" s="1"/>
      <c r="I1382" s="1"/>
      <c r="J1382" s="1"/>
      <c r="L1382" s="1"/>
      <c r="M1382" s="1"/>
      <c r="O1382" s="2"/>
      <c r="P1382" s="2"/>
    </row>
    <row r="1383" spans="1:16" x14ac:dyDescent="0.25">
      <c r="A1383" s="2"/>
      <c r="B1383" s="2"/>
      <c r="F1383" s="1"/>
      <c r="G1383" s="1"/>
      <c r="I1383" s="1"/>
      <c r="J1383" s="1"/>
      <c r="L1383" s="1"/>
      <c r="M1383" s="1"/>
      <c r="O1383" s="2"/>
      <c r="P1383" s="2"/>
    </row>
    <row r="1384" spans="1:16" x14ac:dyDescent="0.25">
      <c r="A1384" s="2"/>
      <c r="B1384" s="2"/>
      <c r="F1384" s="1"/>
      <c r="G1384" s="1"/>
      <c r="I1384" s="1"/>
      <c r="J1384" s="1"/>
      <c r="L1384" s="1"/>
      <c r="M1384" s="1"/>
      <c r="O1384" s="2"/>
      <c r="P1384" s="2"/>
    </row>
    <row r="1385" spans="1:16" x14ac:dyDescent="0.25">
      <c r="A1385" s="2"/>
      <c r="B1385" s="2"/>
      <c r="F1385" s="1"/>
      <c r="G1385" s="1"/>
      <c r="I1385" s="1"/>
      <c r="J1385" s="1"/>
      <c r="L1385" s="1"/>
      <c r="M1385" s="1"/>
      <c r="O1385" s="2"/>
      <c r="P1385" s="2"/>
    </row>
    <row r="1386" spans="1:16" x14ac:dyDescent="0.25">
      <c r="A1386" s="2"/>
      <c r="B1386" s="2"/>
      <c r="F1386" s="1"/>
      <c r="G1386" s="1"/>
      <c r="I1386" s="1"/>
      <c r="J1386" s="1"/>
      <c r="L1386" s="1"/>
      <c r="M1386" s="1"/>
      <c r="O1386" s="2"/>
      <c r="P1386" s="2"/>
    </row>
    <row r="1387" spans="1:16" x14ac:dyDescent="0.25">
      <c r="A1387" s="2"/>
      <c r="B1387" s="2"/>
      <c r="F1387" s="1"/>
      <c r="G1387" s="1"/>
      <c r="I1387" s="1"/>
      <c r="J1387" s="1"/>
      <c r="L1387" s="1"/>
      <c r="M1387" s="1"/>
      <c r="O1387" s="2"/>
      <c r="P1387" s="2"/>
    </row>
    <row r="1388" spans="1:16" x14ac:dyDescent="0.25">
      <c r="A1388" s="2"/>
      <c r="B1388" s="2"/>
      <c r="F1388" s="1"/>
      <c r="G1388" s="1"/>
      <c r="I1388" s="1"/>
      <c r="J1388" s="1"/>
      <c r="L1388" s="1"/>
      <c r="M1388" s="1"/>
      <c r="O1388" s="2"/>
      <c r="P1388" s="2"/>
    </row>
    <row r="1389" spans="1:16" x14ac:dyDescent="0.25">
      <c r="A1389" s="2"/>
      <c r="B1389" s="2"/>
      <c r="F1389" s="1"/>
      <c r="G1389" s="1"/>
      <c r="I1389" s="1"/>
      <c r="J1389" s="1"/>
      <c r="L1389" s="1"/>
      <c r="M1389" s="1"/>
      <c r="O1389" s="2"/>
      <c r="P1389" s="2"/>
    </row>
    <row r="1390" spans="1:16" x14ac:dyDescent="0.25">
      <c r="A1390" s="2"/>
      <c r="B1390" s="2"/>
      <c r="F1390" s="1"/>
      <c r="G1390" s="1"/>
      <c r="I1390" s="1"/>
      <c r="J1390" s="1"/>
      <c r="L1390" s="1"/>
      <c r="M1390" s="1"/>
      <c r="O1390" s="2"/>
      <c r="P1390" s="2"/>
    </row>
    <row r="1391" spans="1:16" x14ac:dyDescent="0.25">
      <c r="A1391" s="2"/>
      <c r="B1391" s="2"/>
      <c r="F1391" s="1"/>
      <c r="G1391" s="1"/>
      <c r="I1391" s="1"/>
      <c r="J1391" s="1"/>
      <c r="L1391" s="1"/>
      <c r="M1391" s="1"/>
      <c r="O1391" s="2"/>
      <c r="P1391" s="2"/>
    </row>
    <row r="1392" spans="1:16" x14ac:dyDescent="0.25">
      <c r="A1392" s="2"/>
      <c r="B1392" s="2"/>
      <c r="F1392" s="1"/>
      <c r="G1392" s="1"/>
      <c r="I1392" s="1"/>
      <c r="J1392" s="1"/>
      <c r="L1392" s="1"/>
      <c r="M1392" s="1"/>
      <c r="O1392" s="2"/>
      <c r="P1392" s="2"/>
    </row>
    <row r="1393" spans="1:16" x14ac:dyDescent="0.25">
      <c r="A1393" s="2"/>
      <c r="B1393" s="2"/>
      <c r="F1393" s="1"/>
      <c r="G1393" s="1"/>
      <c r="I1393" s="1"/>
      <c r="J1393" s="1"/>
      <c r="L1393" s="1"/>
      <c r="M1393" s="1"/>
      <c r="O1393" s="2"/>
      <c r="P1393" s="2"/>
    </row>
    <row r="1394" spans="1:16" x14ac:dyDescent="0.25">
      <c r="A1394" s="2"/>
      <c r="B1394" s="2"/>
      <c r="F1394" s="1"/>
      <c r="G1394" s="1"/>
      <c r="I1394" s="1"/>
      <c r="J1394" s="1"/>
      <c r="L1394" s="1"/>
      <c r="M1394" s="1"/>
      <c r="O1394" s="2"/>
      <c r="P1394" s="2"/>
    </row>
    <row r="1395" spans="1:16" x14ac:dyDescent="0.25">
      <c r="A1395" s="2"/>
      <c r="B1395" s="2"/>
      <c r="F1395" s="1"/>
      <c r="G1395" s="1"/>
      <c r="I1395" s="1"/>
      <c r="J1395" s="1"/>
      <c r="L1395" s="1"/>
      <c r="M1395" s="1"/>
      <c r="O1395" s="2"/>
      <c r="P1395" s="2"/>
    </row>
    <row r="1396" spans="1:16" x14ac:dyDescent="0.25">
      <c r="A1396" s="2"/>
      <c r="B1396" s="2"/>
      <c r="F1396" s="1"/>
      <c r="G1396" s="1"/>
      <c r="I1396" s="1"/>
      <c r="J1396" s="1"/>
      <c r="L1396" s="1"/>
      <c r="M1396" s="1"/>
      <c r="O1396" s="2"/>
      <c r="P1396" s="2"/>
    </row>
    <row r="1397" spans="1:16" x14ac:dyDescent="0.25">
      <c r="A1397" s="2"/>
      <c r="B1397" s="2"/>
      <c r="F1397" s="1"/>
      <c r="G1397" s="1"/>
      <c r="I1397" s="1"/>
      <c r="J1397" s="1"/>
      <c r="L1397" s="1"/>
      <c r="M1397" s="1"/>
      <c r="O1397" s="2"/>
      <c r="P1397" s="2"/>
    </row>
    <row r="1398" spans="1:16" x14ac:dyDescent="0.25">
      <c r="A1398" s="2"/>
      <c r="B1398" s="2"/>
      <c r="F1398" s="1"/>
      <c r="G1398" s="1"/>
      <c r="I1398" s="1"/>
      <c r="J1398" s="1"/>
      <c r="L1398" s="1"/>
      <c r="M1398" s="1"/>
      <c r="O1398" s="2"/>
      <c r="P1398" s="2"/>
    </row>
    <row r="1399" spans="1:16" x14ac:dyDescent="0.25">
      <c r="A1399" s="2"/>
      <c r="B1399" s="2"/>
      <c r="F1399" s="1"/>
      <c r="G1399" s="1"/>
      <c r="I1399" s="1"/>
      <c r="J1399" s="1"/>
      <c r="L1399" s="1"/>
      <c r="M1399" s="1"/>
      <c r="O1399" s="2"/>
      <c r="P1399" s="2"/>
    </row>
    <row r="1400" spans="1:16" x14ac:dyDescent="0.25">
      <c r="A1400" s="2"/>
      <c r="B1400" s="2"/>
      <c r="F1400" s="1"/>
      <c r="G1400" s="1"/>
      <c r="I1400" s="1"/>
      <c r="J1400" s="1"/>
      <c r="L1400" s="1"/>
      <c r="M1400" s="1"/>
      <c r="O1400" s="2"/>
      <c r="P1400" s="2"/>
    </row>
    <row r="1401" spans="1:16" x14ac:dyDescent="0.25">
      <c r="A1401" s="2"/>
      <c r="B1401" s="2"/>
      <c r="F1401" s="1"/>
      <c r="G1401" s="1"/>
      <c r="I1401" s="1"/>
      <c r="J1401" s="1"/>
      <c r="L1401" s="1"/>
      <c r="M1401" s="1"/>
      <c r="O1401" s="2"/>
      <c r="P1401" s="2"/>
    </row>
    <row r="1402" spans="1:16" x14ac:dyDescent="0.25">
      <c r="A1402" s="2"/>
      <c r="B1402" s="2"/>
      <c r="F1402" s="1"/>
      <c r="G1402" s="1"/>
      <c r="I1402" s="1"/>
      <c r="J1402" s="1"/>
      <c r="L1402" s="1"/>
      <c r="M1402" s="1"/>
      <c r="O1402" s="2"/>
      <c r="P1402" s="2"/>
    </row>
    <row r="1403" spans="1:16" x14ac:dyDescent="0.25">
      <c r="A1403" s="2"/>
      <c r="B1403" s="2"/>
      <c r="F1403" s="1"/>
      <c r="G1403" s="1"/>
      <c r="I1403" s="1"/>
      <c r="J1403" s="1"/>
      <c r="L1403" s="1"/>
      <c r="M1403" s="1"/>
      <c r="O1403" s="2"/>
      <c r="P1403" s="2"/>
    </row>
    <row r="1404" spans="1:16" x14ac:dyDescent="0.25">
      <c r="A1404" s="2"/>
      <c r="B1404" s="2"/>
      <c r="F1404" s="1"/>
      <c r="G1404" s="1"/>
      <c r="I1404" s="1"/>
      <c r="J1404" s="1"/>
      <c r="L1404" s="1"/>
      <c r="M1404" s="1"/>
      <c r="O1404" s="2"/>
      <c r="P1404" s="2"/>
    </row>
    <row r="1405" spans="1:16" x14ac:dyDescent="0.25">
      <c r="A1405" s="2"/>
      <c r="B1405" s="2"/>
      <c r="F1405" s="1"/>
      <c r="G1405" s="1"/>
      <c r="I1405" s="1"/>
      <c r="J1405" s="1"/>
      <c r="L1405" s="1"/>
      <c r="M1405" s="1"/>
      <c r="O1405" s="2"/>
      <c r="P1405" s="2"/>
    </row>
    <row r="1406" spans="1:16" x14ac:dyDescent="0.25">
      <c r="A1406" s="2"/>
      <c r="B1406" s="2"/>
      <c r="F1406" s="1"/>
      <c r="G1406" s="1"/>
      <c r="I1406" s="1"/>
      <c r="J1406" s="1"/>
      <c r="L1406" s="1"/>
      <c r="M1406" s="1"/>
      <c r="O1406" s="2"/>
      <c r="P1406" s="2"/>
    </row>
    <row r="1407" spans="1:16" x14ac:dyDescent="0.25">
      <c r="A1407" s="2"/>
      <c r="B1407" s="2"/>
      <c r="F1407" s="1"/>
      <c r="G1407" s="1"/>
      <c r="I1407" s="1"/>
      <c r="J1407" s="1"/>
      <c r="L1407" s="1"/>
      <c r="M1407" s="1"/>
      <c r="O1407" s="2"/>
      <c r="P1407" s="2"/>
    </row>
    <row r="1408" spans="1:16" x14ac:dyDescent="0.25">
      <c r="A1408" s="2"/>
      <c r="B1408" s="2"/>
      <c r="F1408" s="1"/>
      <c r="G1408" s="1"/>
      <c r="I1408" s="1"/>
      <c r="J1408" s="1"/>
      <c r="L1408" s="1"/>
      <c r="M1408" s="1"/>
      <c r="O1408" s="2"/>
      <c r="P1408" s="2"/>
    </row>
    <row r="1409" spans="1:16" x14ac:dyDescent="0.25">
      <c r="A1409" s="2"/>
      <c r="B1409" s="2"/>
      <c r="F1409" s="1"/>
      <c r="G1409" s="1"/>
      <c r="I1409" s="1"/>
      <c r="J1409" s="1"/>
      <c r="L1409" s="1"/>
      <c r="M1409" s="1"/>
      <c r="O1409" s="2"/>
      <c r="P1409" s="2"/>
    </row>
    <row r="1410" spans="1:16" x14ac:dyDescent="0.25">
      <c r="A1410" s="2"/>
      <c r="B1410" s="2"/>
      <c r="F1410" s="1"/>
      <c r="G1410" s="1"/>
      <c r="I1410" s="1"/>
      <c r="J1410" s="1"/>
      <c r="L1410" s="1"/>
      <c r="M1410" s="1"/>
      <c r="O1410" s="2"/>
      <c r="P1410" s="2"/>
    </row>
    <row r="1411" spans="1:16" x14ac:dyDescent="0.25">
      <c r="A1411" s="2"/>
      <c r="B1411" s="2"/>
      <c r="F1411" s="1"/>
      <c r="G1411" s="1"/>
      <c r="I1411" s="1"/>
      <c r="J1411" s="1"/>
      <c r="L1411" s="1"/>
      <c r="M1411" s="1"/>
      <c r="O1411" s="2"/>
      <c r="P1411" s="2"/>
    </row>
    <row r="1412" spans="1:16" x14ac:dyDescent="0.25">
      <c r="A1412" s="2"/>
      <c r="B1412" s="2"/>
      <c r="F1412" s="1"/>
      <c r="G1412" s="1"/>
      <c r="I1412" s="1"/>
      <c r="J1412" s="1"/>
      <c r="L1412" s="1"/>
      <c r="M1412" s="1"/>
      <c r="O1412" s="2"/>
      <c r="P1412" s="2"/>
    </row>
    <row r="1413" spans="1:16" x14ac:dyDescent="0.25">
      <c r="A1413" s="2"/>
      <c r="B1413" s="2"/>
      <c r="F1413" s="1"/>
      <c r="G1413" s="1"/>
      <c r="I1413" s="1"/>
      <c r="J1413" s="1"/>
      <c r="L1413" s="1"/>
      <c r="M1413" s="1"/>
      <c r="O1413" s="2"/>
      <c r="P1413" s="2"/>
    </row>
    <row r="1414" spans="1:16" x14ac:dyDescent="0.25">
      <c r="A1414" s="2"/>
      <c r="B1414" s="2"/>
      <c r="F1414" s="1"/>
      <c r="G1414" s="1"/>
      <c r="I1414" s="1"/>
      <c r="J1414" s="1"/>
      <c r="L1414" s="1"/>
      <c r="M1414" s="1"/>
      <c r="O1414" s="2"/>
      <c r="P1414" s="2"/>
    </row>
    <row r="1415" spans="1:16" x14ac:dyDescent="0.25">
      <c r="A1415" s="2"/>
      <c r="B1415" s="2"/>
      <c r="F1415" s="1"/>
      <c r="G1415" s="1"/>
      <c r="I1415" s="1"/>
      <c r="J1415" s="1"/>
      <c r="L1415" s="1"/>
      <c r="M1415" s="1"/>
      <c r="O1415" s="2"/>
      <c r="P1415" s="2"/>
    </row>
    <row r="1416" spans="1:16" x14ac:dyDescent="0.25">
      <c r="A1416" s="2"/>
      <c r="B1416" s="2"/>
      <c r="F1416" s="1"/>
      <c r="G1416" s="1"/>
      <c r="I1416" s="1"/>
      <c r="J1416" s="1"/>
      <c r="L1416" s="1"/>
      <c r="M1416" s="1"/>
      <c r="O1416" s="2"/>
      <c r="P1416" s="2"/>
    </row>
    <row r="1417" spans="1:16" x14ac:dyDescent="0.25">
      <c r="A1417" s="2"/>
      <c r="B1417" s="2"/>
      <c r="F1417" s="1"/>
      <c r="G1417" s="1"/>
      <c r="I1417" s="1"/>
      <c r="J1417" s="1"/>
      <c r="L1417" s="1"/>
      <c r="M1417" s="1"/>
      <c r="O1417" s="2"/>
      <c r="P1417" s="2"/>
    </row>
    <row r="1418" spans="1:16" x14ac:dyDescent="0.25">
      <c r="A1418" s="2"/>
      <c r="B1418" s="2"/>
      <c r="F1418" s="1"/>
      <c r="G1418" s="1"/>
      <c r="I1418" s="1"/>
      <c r="J1418" s="1"/>
      <c r="L1418" s="1"/>
      <c r="M1418" s="1"/>
      <c r="O1418" s="2"/>
      <c r="P1418" s="2"/>
    </row>
    <row r="1419" spans="1:16" x14ac:dyDescent="0.25">
      <c r="A1419" s="2"/>
      <c r="B1419" s="2"/>
      <c r="F1419" s="1"/>
      <c r="G1419" s="1"/>
      <c r="I1419" s="1"/>
      <c r="J1419" s="1"/>
      <c r="L1419" s="1"/>
      <c r="M1419" s="1"/>
      <c r="O1419" s="2"/>
      <c r="P1419" s="2"/>
    </row>
    <row r="1420" spans="1:16" x14ac:dyDescent="0.25">
      <c r="A1420" s="2"/>
      <c r="B1420" s="2"/>
      <c r="F1420" s="1"/>
      <c r="G1420" s="1"/>
      <c r="I1420" s="1"/>
      <c r="J1420" s="1"/>
      <c r="L1420" s="1"/>
      <c r="M1420" s="1"/>
      <c r="O1420" s="2"/>
      <c r="P1420" s="2"/>
    </row>
    <row r="1421" spans="1:16" x14ac:dyDescent="0.25">
      <c r="A1421" s="2"/>
      <c r="B1421" s="2"/>
      <c r="F1421" s="1"/>
      <c r="G1421" s="1"/>
      <c r="I1421" s="1"/>
      <c r="J1421" s="1"/>
      <c r="L1421" s="1"/>
      <c r="M1421" s="1"/>
      <c r="O1421" s="2"/>
      <c r="P1421" s="2"/>
    </row>
    <row r="1422" spans="1:16" x14ac:dyDescent="0.25">
      <c r="A1422" s="2"/>
      <c r="B1422" s="2"/>
      <c r="F1422" s="1"/>
      <c r="G1422" s="1"/>
      <c r="I1422" s="1"/>
      <c r="J1422" s="1"/>
      <c r="L1422" s="1"/>
      <c r="M1422" s="1"/>
      <c r="O1422" s="2"/>
      <c r="P1422" s="2"/>
    </row>
    <row r="1423" spans="1:16" x14ac:dyDescent="0.25">
      <c r="A1423" s="2"/>
      <c r="B1423" s="2"/>
      <c r="F1423" s="1"/>
      <c r="G1423" s="1"/>
      <c r="I1423" s="1"/>
      <c r="J1423" s="1"/>
      <c r="L1423" s="1"/>
      <c r="M1423" s="1"/>
      <c r="O1423" s="2"/>
      <c r="P1423" s="2"/>
    </row>
    <row r="1424" spans="1:16" x14ac:dyDescent="0.25">
      <c r="A1424" s="2"/>
      <c r="B1424" s="2"/>
      <c r="F1424" s="1"/>
      <c r="G1424" s="1"/>
      <c r="I1424" s="1"/>
      <c r="J1424" s="1"/>
      <c r="L1424" s="1"/>
      <c r="M1424" s="1"/>
      <c r="O1424" s="2"/>
      <c r="P1424" s="2"/>
    </row>
    <row r="1425" spans="1:16" x14ac:dyDescent="0.25">
      <c r="A1425" s="2"/>
      <c r="B1425" s="2"/>
      <c r="F1425" s="1"/>
      <c r="G1425" s="1"/>
      <c r="I1425" s="1"/>
      <c r="J1425" s="1"/>
      <c r="L1425" s="1"/>
      <c r="M1425" s="1"/>
      <c r="O1425" s="2"/>
      <c r="P1425" s="2"/>
    </row>
    <row r="1426" spans="1:16" x14ac:dyDescent="0.25">
      <c r="A1426" s="2"/>
      <c r="B1426" s="2"/>
      <c r="F1426" s="1"/>
      <c r="G1426" s="1"/>
      <c r="I1426" s="1"/>
      <c r="J1426" s="1"/>
      <c r="L1426" s="1"/>
      <c r="M1426" s="1"/>
      <c r="O1426" s="2"/>
      <c r="P1426" s="2"/>
    </row>
    <row r="1427" spans="1:16" x14ac:dyDescent="0.25">
      <c r="A1427" s="2"/>
      <c r="B1427" s="2"/>
      <c r="F1427" s="1"/>
      <c r="G1427" s="1"/>
      <c r="I1427" s="1"/>
      <c r="J1427" s="1"/>
      <c r="L1427" s="1"/>
      <c r="M1427" s="1"/>
      <c r="O1427" s="2"/>
      <c r="P1427" s="2"/>
    </row>
    <row r="1428" spans="1:16" x14ac:dyDescent="0.25">
      <c r="A1428" s="2"/>
      <c r="B1428" s="2"/>
      <c r="F1428" s="1"/>
      <c r="G1428" s="1"/>
      <c r="I1428" s="1"/>
      <c r="J1428" s="1"/>
      <c r="L1428" s="1"/>
      <c r="M1428" s="1"/>
      <c r="O1428" s="2"/>
      <c r="P1428" s="2"/>
    </row>
    <row r="1429" spans="1:16" x14ac:dyDescent="0.25">
      <c r="A1429" s="2"/>
      <c r="B1429" s="2"/>
      <c r="F1429" s="1"/>
      <c r="G1429" s="1"/>
      <c r="I1429" s="1"/>
      <c r="J1429" s="1"/>
      <c r="L1429" s="1"/>
      <c r="M1429" s="1"/>
      <c r="O1429" s="2"/>
      <c r="P1429" s="2"/>
    </row>
    <row r="1430" spans="1:16" x14ac:dyDescent="0.25">
      <c r="A1430" s="2"/>
      <c r="B1430" s="2"/>
      <c r="F1430" s="1"/>
      <c r="G1430" s="1"/>
      <c r="I1430" s="1"/>
      <c r="J1430" s="1"/>
      <c r="L1430" s="1"/>
      <c r="M1430" s="1"/>
      <c r="O1430" s="2"/>
      <c r="P1430" s="2"/>
    </row>
    <row r="1431" spans="1:16" x14ac:dyDescent="0.25">
      <c r="A1431" s="2"/>
      <c r="B1431" s="2"/>
      <c r="F1431" s="1"/>
      <c r="G1431" s="1"/>
      <c r="I1431" s="1"/>
      <c r="J1431" s="1"/>
      <c r="L1431" s="1"/>
      <c r="M1431" s="1"/>
      <c r="O1431" s="2"/>
      <c r="P1431" s="2"/>
    </row>
    <row r="1432" spans="1:16" x14ac:dyDescent="0.25">
      <c r="A1432" s="2"/>
      <c r="B1432" s="2"/>
      <c r="F1432" s="1"/>
      <c r="G1432" s="1"/>
      <c r="I1432" s="1"/>
      <c r="J1432" s="1"/>
      <c r="L1432" s="1"/>
      <c r="M1432" s="1"/>
      <c r="O1432" s="2"/>
      <c r="P1432" s="2"/>
    </row>
    <row r="1433" spans="1:16" x14ac:dyDescent="0.25">
      <c r="A1433" s="2"/>
      <c r="B1433" s="2"/>
      <c r="F1433" s="1"/>
      <c r="G1433" s="1"/>
      <c r="I1433" s="1"/>
      <c r="J1433" s="1"/>
      <c r="L1433" s="1"/>
      <c r="M1433" s="1"/>
      <c r="O1433" s="2"/>
      <c r="P1433" s="2"/>
    </row>
    <row r="1434" spans="1:16" x14ac:dyDescent="0.25">
      <c r="A1434" s="2"/>
      <c r="B1434" s="2"/>
      <c r="F1434" s="1"/>
      <c r="G1434" s="1"/>
      <c r="I1434" s="1"/>
      <c r="J1434" s="1"/>
      <c r="L1434" s="1"/>
      <c r="M1434" s="1"/>
      <c r="O1434" s="2"/>
      <c r="P1434" s="2"/>
    </row>
    <row r="1435" spans="1:16" x14ac:dyDescent="0.25">
      <c r="A1435" s="2"/>
      <c r="B1435" s="2"/>
      <c r="F1435" s="1"/>
      <c r="G1435" s="1"/>
      <c r="I1435" s="1"/>
      <c r="J1435" s="1"/>
      <c r="L1435" s="1"/>
      <c r="M1435" s="1"/>
      <c r="O1435" s="2"/>
      <c r="P1435" s="2"/>
    </row>
    <row r="1436" spans="1:16" x14ac:dyDescent="0.25">
      <c r="A1436" s="2"/>
      <c r="B1436" s="2"/>
      <c r="F1436" s="1"/>
      <c r="G1436" s="1"/>
      <c r="I1436" s="1"/>
      <c r="J1436" s="1"/>
      <c r="L1436" s="1"/>
      <c r="M1436" s="1"/>
      <c r="O1436" s="2"/>
      <c r="P1436" s="2"/>
    </row>
    <row r="1437" spans="1:16" x14ac:dyDescent="0.25">
      <c r="A1437" s="2"/>
      <c r="B1437" s="2"/>
      <c r="F1437" s="1"/>
      <c r="G1437" s="1"/>
      <c r="I1437" s="1"/>
      <c r="J1437" s="1"/>
      <c r="L1437" s="1"/>
      <c r="M1437" s="1"/>
      <c r="O1437" s="2"/>
      <c r="P1437" s="2"/>
    </row>
    <row r="1438" spans="1:16" x14ac:dyDescent="0.25">
      <c r="A1438" s="2"/>
      <c r="B1438" s="2"/>
      <c r="F1438" s="1"/>
      <c r="G1438" s="1"/>
      <c r="I1438" s="1"/>
      <c r="J1438" s="1"/>
      <c r="L1438" s="1"/>
      <c r="M1438" s="1"/>
      <c r="O1438" s="2"/>
      <c r="P1438" s="2"/>
    </row>
    <row r="1439" spans="1:16" x14ac:dyDescent="0.25">
      <c r="A1439" s="2"/>
      <c r="B1439" s="2"/>
      <c r="F1439" s="1"/>
      <c r="G1439" s="1"/>
      <c r="I1439" s="1"/>
      <c r="J1439" s="1"/>
      <c r="L1439" s="1"/>
      <c r="M1439" s="1"/>
      <c r="O1439" s="2"/>
      <c r="P1439" s="2"/>
    </row>
    <row r="1440" spans="1:16" x14ac:dyDescent="0.25">
      <c r="A1440" s="2"/>
      <c r="B1440" s="2"/>
      <c r="F1440" s="1"/>
      <c r="G1440" s="1"/>
      <c r="I1440" s="1"/>
      <c r="J1440" s="1"/>
      <c r="L1440" s="1"/>
      <c r="M1440" s="1"/>
      <c r="O1440" s="2"/>
      <c r="P1440" s="2"/>
    </row>
    <row r="1441" spans="1:16" x14ac:dyDescent="0.25">
      <c r="A1441" s="2"/>
      <c r="B1441" s="2"/>
      <c r="F1441" s="1"/>
      <c r="G1441" s="1"/>
      <c r="I1441" s="1"/>
      <c r="J1441" s="1"/>
      <c r="L1441" s="1"/>
      <c r="M1441" s="1"/>
      <c r="O1441" s="2"/>
      <c r="P1441" s="2"/>
    </row>
    <row r="1442" spans="1:16" x14ac:dyDescent="0.25">
      <c r="A1442" s="2"/>
      <c r="B1442" s="2"/>
      <c r="F1442" s="1"/>
      <c r="G1442" s="1"/>
      <c r="I1442" s="1"/>
      <c r="J1442" s="1"/>
      <c r="L1442" s="1"/>
      <c r="M1442" s="1"/>
      <c r="O1442" s="2"/>
      <c r="P1442" s="2"/>
    </row>
    <row r="1443" spans="1:16" x14ac:dyDescent="0.25">
      <c r="A1443" s="2"/>
      <c r="B1443" s="2"/>
      <c r="F1443" s="1"/>
      <c r="G1443" s="1"/>
      <c r="I1443" s="1"/>
      <c r="J1443" s="1"/>
      <c r="L1443" s="1"/>
      <c r="M1443" s="1"/>
      <c r="O1443" s="2"/>
      <c r="P1443" s="2"/>
    </row>
    <row r="1444" spans="1:16" x14ac:dyDescent="0.25">
      <c r="A1444" s="2"/>
      <c r="B1444" s="2"/>
      <c r="F1444" s="1"/>
      <c r="G1444" s="1"/>
      <c r="I1444" s="1"/>
      <c r="J1444" s="1"/>
      <c r="L1444" s="1"/>
      <c r="M1444" s="1"/>
      <c r="O1444" s="2"/>
      <c r="P1444" s="2"/>
    </row>
    <row r="1445" spans="1:16" x14ac:dyDescent="0.25">
      <c r="A1445" s="2"/>
      <c r="B1445" s="2"/>
      <c r="F1445" s="1"/>
      <c r="G1445" s="1"/>
      <c r="I1445" s="1"/>
      <c r="J1445" s="1"/>
      <c r="L1445" s="1"/>
      <c r="M1445" s="1"/>
      <c r="O1445" s="2"/>
      <c r="P1445" s="2"/>
    </row>
    <row r="1446" spans="1:16" x14ac:dyDescent="0.25">
      <c r="A1446" s="2"/>
      <c r="B1446" s="2"/>
      <c r="F1446" s="1"/>
      <c r="G1446" s="1"/>
      <c r="I1446" s="1"/>
      <c r="J1446" s="1"/>
      <c r="L1446" s="1"/>
      <c r="M1446" s="1"/>
      <c r="O1446" s="2"/>
      <c r="P1446" s="2"/>
    </row>
    <row r="1447" spans="1:16" x14ac:dyDescent="0.25">
      <c r="A1447" s="2"/>
      <c r="B1447" s="2"/>
      <c r="F1447" s="1"/>
      <c r="G1447" s="1"/>
      <c r="I1447" s="1"/>
      <c r="J1447" s="1"/>
      <c r="L1447" s="1"/>
      <c r="M1447" s="1"/>
      <c r="O1447" s="2"/>
      <c r="P1447" s="2"/>
    </row>
    <row r="1448" spans="1:16" x14ac:dyDescent="0.25">
      <c r="A1448" s="2"/>
      <c r="B1448" s="2"/>
      <c r="F1448" s="1"/>
      <c r="G1448" s="1"/>
      <c r="I1448" s="1"/>
      <c r="J1448" s="1"/>
      <c r="L1448" s="1"/>
      <c r="M1448" s="1"/>
      <c r="O1448" s="2"/>
      <c r="P1448" s="2"/>
    </row>
    <row r="1449" spans="1:16" x14ac:dyDescent="0.25">
      <c r="A1449" s="2"/>
      <c r="B1449" s="2"/>
      <c r="F1449" s="1"/>
      <c r="G1449" s="1"/>
      <c r="I1449" s="1"/>
      <c r="J1449" s="1"/>
      <c r="L1449" s="1"/>
      <c r="M1449" s="1"/>
      <c r="O1449" s="2"/>
      <c r="P1449" s="2"/>
    </row>
    <row r="1450" spans="1:16" x14ac:dyDescent="0.25">
      <c r="A1450" s="2"/>
      <c r="B1450" s="2"/>
      <c r="F1450" s="1"/>
      <c r="G1450" s="1"/>
      <c r="I1450" s="1"/>
      <c r="J1450" s="1"/>
      <c r="L1450" s="1"/>
      <c r="M1450" s="1"/>
      <c r="O1450" s="2"/>
      <c r="P1450" s="2"/>
    </row>
    <row r="1451" spans="1:16" x14ac:dyDescent="0.25">
      <c r="A1451" s="2"/>
      <c r="B1451" s="2"/>
      <c r="F1451" s="1"/>
      <c r="G1451" s="1"/>
      <c r="I1451" s="1"/>
      <c r="J1451" s="1"/>
      <c r="L1451" s="1"/>
      <c r="M1451" s="1"/>
      <c r="O1451" s="2"/>
      <c r="P1451" s="2"/>
    </row>
    <row r="1452" spans="1:16" x14ac:dyDescent="0.25">
      <c r="A1452" s="2"/>
      <c r="B1452" s="2"/>
      <c r="F1452" s="1"/>
      <c r="G1452" s="1"/>
      <c r="I1452" s="1"/>
      <c r="J1452" s="1"/>
      <c r="L1452" s="1"/>
      <c r="M1452" s="1"/>
      <c r="O1452" s="2"/>
      <c r="P1452" s="2"/>
    </row>
    <row r="1453" spans="1:16" x14ac:dyDescent="0.25">
      <c r="A1453" s="2"/>
      <c r="B1453" s="2"/>
      <c r="F1453" s="1"/>
      <c r="G1453" s="1"/>
      <c r="I1453" s="1"/>
      <c r="J1453" s="1"/>
      <c r="L1453" s="1"/>
      <c r="M1453" s="1"/>
      <c r="O1453" s="2"/>
      <c r="P1453" s="2"/>
    </row>
    <row r="1454" spans="1:16" x14ac:dyDescent="0.25">
      <c r="A1454" s="2"/>
      <c r="B1454" s="2"/>
      <c r="F1454" s="1"/>
      <c r="G1454" s="1"/>
      <c r="I1454" s="1"/>
      <c r="J1454" s="1"/>
      <c r="L1454" s="1"/>
      <c r="M1454" s="1"/>
      <c r="O1454" s="2"/>
      <c r="P1454" s="2"/>
    </row>
    <row r="1455" spans="1:16" x14ac:dyDescent="0.25">
      <c r="A1455" s="2"/>
      <c r="B1455" s="2"/>
      <c r="F1455" s="1"/>
      <c r="G1455" s="1"/>
      <c r="I1455" s="1"/>
      <c r="J1455" s="1"/>
      <c r="L1455" s="1"/>
      <c r="M1455" s="1"/>
      <c r="O1455" s="2"/>
      <c r="P1455" s="2"/>
    </row>
    <row r="1456" spans="1:16" x14ac:dyDescent="0.25">
      <c r="A1456" s="2"/>
      <c r="B1456" s="2"/>
      <c r="F1456" s="1"/>
      <c r="G1456" s="1"/>
      <c r="I1456" s="1"/>
      <c r="J1456" s="1"/>
      <c r="L1456" s="1"/>
      <c r="M1456" s="1"/>
      <c r="O1456" s="2"/>
      <c r="P1456" s="2"/>
    </row>
    <row r="1457" spans="1:16" x14ac:dyDescent="0.25">
      <c r="A1457" s="2"/>
      <c r="B1457" s="2"/>
      <c r="F1457" s="1"/>
      <c r="G1457" s="1"/>
      <c r="I1457" s="1"/>
      <c r="J1457" s="1"/>
      <c r="L1457" s="1"/>
      <c r="M1457" s="1"/>
      <c r="O1457" s="2"/>
      <c r="P1457" s="2"/>
    </row>
    <row r="1458" spans="1:16" x14ac:dyDescent="0.25">
      <c r="A1458" s="2"/>
      <c r="B1458" s="2"/>
      <c r="F1458" s="1"/>
      <c r="G1458" s="1"/>
      <c r="I1458" s="1"/>
      <c r="J1458" s="1"/>
      <c r="L1458" s="1"/>
      <c r="M1458" s="1"/>
      <c r="O1458" s="2"/>
      <c r="P1458" s="2"/>
    </row>
    <row r="1459" spans="1:16" x14ac:dyDescent="0.25">
      <c r="A1459" s="2"/>
      <c r="B1459" s="2"/>
      <c r="F1459" s="1"/>
      <c r="G1459" s="1"/>
      <c r="I1459" s="1"/>
      <c r="J1459" s="1"/>
      <c r="L1459" s="1"/>
      <c r="M1459" s="1"/>
      <c r="O1459" s="2"/>
      <c r="P1459" s="2"/>
    </row>
    <row r="1460" spans="1:16" x14ac:dyDescent="0.25">
      <c r="A1460" s="2"/>
      <c r="B1460" s="2"/>
      <c r="F1460" s="1"/>
      <c r="G1460" s="1"/>
      <c r="I1460" s="1"/>
      <c r="J1460" s="1"/>
      <c r="L1460" s="1"/>
      <c r="M1460" s="1"/>
      <c r="O1460" s="2"/>
      <c r="P1460" s="2"/>
    </row>
    <row r="1461" spans="1:16" x14ac:dyDescent="0.25">
      <c r="A1461" s="2"/>
      <c r="B1461" s="2"/>
      <c r="F1461" s="1"/>
      <c r="G1461" s="1"/>
      <c r="I1461" s="1"/>
      <c r="J1461" s="1"/>
      <c r="L1461" s="1"/>
      <c r="M1461" s="1"/>
      <c r="O1461" s="2"/>
      <c r="P1461" s="2"/>
    </row>
    <row r="1462" spans="1:16" x14ac:dyDescent="0.25">
      <c r="A1462" s="2"/>
      <c r="B1462" s="2"/>
      <c r="F1462" s="1"/>
      <c r="G1462" s="1"/>
      <c r="I1462" s="1"/>
      <c r="J1462" s="1"/>
      <c r="L1462" s="1"/>
      <c r="M1462" s="1"/>
      <c r="O1462" s="2"/>
      <c r="P1462" s="2"/>
    </row>
    <row r="1463" spans="1:16" x14ac:dyDescent="0.25">
      <c r="A1463" s="2"/>
      <c r="B1463" s="2"/>
      <c r="F1463" s="1"/>
      <c r="G1463" s="1"/>
      <c r="I1463" s="1"/>
      <c r="J1463" s="1"/>
      <c r="L1463" s="1"/>
      <c r="M1463" s="1"/>
      <c r="O1463" s="2"/>
      <c r="P1463" s="2"/>
    </row>
    <row r="1464" spans="1:16" x14ac:dyDescent="0.25">
      <c r="A1464" s="2"/>
      <c r="B1464" s="2"/>
      <c r="F1464" s="1"/>
      <c r="G1464" s="1"/>
      <c r="I1464" s="1"/>
      <c r="J1464" s="1"/>
      <c r="L1464" s="1"/>
      <c r="M1464" s="1"/>
      <c r="O1464" s="2"/>
      <c r="P1464" s="2"/>
    </row>
    <row r="1465" spans="1:16" x14ac:dyDescent="0.25">
      <c r="A1465" s="2"/>
      <c r="B1465" s="2"/>
      <c r="F1465" s="1"/>
      <c r="G1465" s="1"/>
      <c r="I1465" s="1"/>
      <c r="J1465" s="1"/>
      <c r="L1465" s="1"/>
      <c r="M1465" s="1"/>
      <c r="O1465" s="2"/>
      <c r="P1465" s="2"/>
    </row>
    <row r="1466" spans="1:16" x14ac:dyDescent="0.25">
      <c r="A1466" s="2"/>
      <c r="B1466" s="2"/>
      <c r="F1466" s="1"/>
      <c r="G1466" s="1"/>
      <c r="I1466" s="1"/>
      <c r="J1466" s="1"/>
      <c r="L1466" s="1"/>
      <c r="M1466" s="1"/>
      <c r="O1466" s="2"/>
      <c r="P1466" s="2"/>
    </row>
    <row r="1467" spans="1:16" x14ac:dyDescent="0.25">
      <c r="A1467" s="2"/>
      <c r="B1467" s="2"/>
      <c r="F1467" s="1"/>
      <c r="G1467" s="1"/>
      <c r="I1467" s="1"/>
      <c r="J1467" s="1"/>
      <c r="L1467" s="1"/>
      <c r="M1467" s="1"/>
      <c r="O1467" s="2"/>
      <c r="P1467" s="2"/>
    </row>
    <row r="1468" spans="1:16" x14ac:dyDescent="0.25">
      <c r="A1468" s="2"/>
      <c r="B1468" s="2"/>
      <c r="F1468" s="1"/>
      <c r="G1468" s="1"/>
      <c r="I1468" s="1"/>
      <c r="J1468" s="1"/>
      <c r="L1468" s="1"/>
      <c r="M1468" s="1"/>
      <c r="O1468" s="2"/>
      <c r="P1468" s="2"/>
    </row>
    <row r="1469" spans="1:16" x14ac:dyDescent="0.25">
      <c r="A1469" s="2"/>
      <c r="B1469" s="2"/>
      <c r="F1469" s="1"/>
      <c r="G1469" s="1"/>
      <c r="I1469" s="1"/>
      <c r="J1469" s="1"/>
      <c r="L1469" s="1"/>
      <c r="M1469" s="1"/>
      <c r="O1469" s="2"/>
      <c r="P1469" s="2"/>
    </row>
    <row r="1470" spans="1:16" x14ac:dyDescent="0.25">
      <c r="A1470" s="2"/>
      <c r="B1470" s="2"/>
      <c r="F1470" s="1"/>
      <c r="G1470" s="1"/>
      <c r="I1470" s="1"/>
      <c r="J1470" s="1"/>
      <c r="L1470" s="1"/>
      <c r="M1470" s="1"/>
      <c r="O1470" s="2"/>
      <c r="P1470" s="2"/>
    </row>
    <row r="1471" spans="1:16" x14ac:dyDescent="0.25">
      <c r="A1471" s="2"/>
      <c r="B1471" s="2"/>
      <c r="F1471" s="1"/>
      <c r="G1471" s="1"/>
      <c r="I1471" s="1"/>
      <c r="J1471" s="1"/>
      <c r="L1471" s="1"/>
      <c r="M1471" s="1"/>
      <c r="O1471" s="2"/>
      <c r="P1471" s="2"/>
    </row>
    <row r="1472" spans="1:16" x14ac:dyDescent="0.25">
      <c r="A1472" s="2"/>
      <c r="B1472" s="2"/>
      <c r="F1472" s="1"/>
      <c r="G1472" s="1"/>
      <c r="I1472" s="1"/>
      <c r="J1472" s="1"/>
      <c r="L1472" s="1"/>
      <c r="M1472" s="1"/>
      <c r="O1472" s="2"/>
      <c r="P1472" s="2"/>
    </row>
    <row r="1473" spans="1:16" x14ac:dyDescent="0.25">
      <c r="A1473" s="2"/>
      <c r="B1473" s="2"/>
      <c r="F1473" s="1"/>
      <c r="G1473" s="1"/>
      <c r="I1473" s="1"/>
      <c r="J1473" s="1"/>
      <c r="L1473" s="1"/>
      <c r="M1473" s="1"/>
      <c r="O1473" s="2"/>
      <c r="P1473" s="2"/>
    </row>
    <row r="1474" spans="1:16" x14ac:dyDescent="0.25">
      <c r="A1474" s="2"/>
      <c r="B1474" s="2"/>
      <c r="F1474" s="1"/>
      <c r="G1474" s="1"/>
      <c r="I1474" s="1"/>
      <c r="J1474" s="1"/>
      <c r="L1474" s="1"/>
      <c r="M1474" s="1"/>
      <c r="O1474" s="2"/>
      <c r="P1474" s="2"/>
    </row>
    <row r="1475" spans="1:16" x14ac:dyDescent="0.25">
      <c r="A1475" s="2"/>
      <c r="B1475" s="2"/>
      <c r="F1475" s="1"/>
      <c r="G1475" s="1"/>
      <c r="I1475" s="1"/>
      <c r="J1475" s="1"/>
      <c r="L1475" s="1"/>
      <c r="M1475" s="1"/>
      <c r="O1475" s="2"/>
      <c r="P1475" s="2"/>
    </row>
    <row r="1476" spans="1:16" x14ac:dyDescent="0.25">
      <c r="A1476" s="2"/>
      <c r="B1476" s="2"/>
      <c r="F1476" s="1"/>
      <c r="G1476" s="1"/>
      <c r="I1476" s="1"/>
      <c r="J1476" s="1"/>
      <c r="L1476" s="1"/>
      <c r="M1476" s="1"/>
      <c r="O1476" s="2"/>
      <c r="P1476" s="2"/>
    </row>
    <row r="1477" spans="1:16" x14ac:dyDescent="0.25">
      <c r="A1477" s="2"/>
      <c r="B1477" s="2"/>
      <c r="F1477" s="1"/>
      <c r="G1477" s="1"/>
      <c r="I1477" s="1"/>
      <c r="J1477" s="1"/>
      <c r="L1477" s="1"/>
      <c r="M1477" s="1"/>
      <c r="O1477" s="2"/>
      <c r="P1477" s="2"/>
    </row>
    <row r="1478" spans="1:16" x14ac:dyDescent="0.25">
      <c r="A1478" s="2"/>
      <c r="B1478" s="2"/>
      <c r="F1478" s="1"/>
      <c r="G1478" s="1"/>
      <c r="I1478" s="1"/>
      <c r="J1478" s="1"/>
      <c r="L1478" s="1"/>
      <c r="M1478" s="1"/>
      <c r="O1478" s="2"/>
      <c r="P1478" s="2"/>
    </row>
    <row r="1479" spans="1:16" x14ac:dyDescent="0.25">
      <c r="A1479" s="2"/>
      <c r="B1479" s="2"/>
      <c r="F1479" s="1"/>
      <c r="G1479" s="1"/>
      <c r="I1479" s="1"/>
      <c r="J1479" s="1"/>
      <c r="L1479" s="1"/>
      <c r="M1479" s="1"/>
      <c r="O1479" s="2"/>
      <c r="P1479" s="2"/>
    </row>
    <row r="1480" spans="1:16" x14ac:dyDescent="0.25">
      <c r="A1480" s="2"/>
      <c r="B1480" s="2"/>
      <c r="F1480" s="1"/>
      <c r="G1480" s="1"/>
      <c r="I1480" s="1"/>
      <c r="J1480" s="1"/>
      <c r="L1480" s="1"/>
      <c r="M1480" s="1"/>
      <c r="O1480" s="2"/>
      <c r="P1480" s="2"/>
    </row>
    <row r="1481" spans="1:16" x14ac:dyDescent="0.25">
      <c r="A1481" s="2"/>
      <c r="B1481" s="2"/>
      <c r="F1481" s="1"/>
      <c r="G1481" s="1"/>
      <c r="I1481" s="1"/>
      <c r="J1481" s="1"/>
      <c r="L1481" s="1"/>
      <c r="M1481" s="1"/>
      <c r="O1481" s="2"/>
      <c r="P1481" s="2"/>
    </row>
    <row r="1482" spans="1:16" x14ac:dyDescent="0.25">
      <c r="A1482" s="2"/>
      <c r="B1482" s="2"/>
      <c r="F1482" s="1"/>
      <c r="G1482" s="1"/>
      <c r="I1482" s="1"/>
      <c r="J1482" s="1"/>
      <c r="L1482" s="1"/>
      <c r="M1482" s="1"/>
      <c r="O1482" s="2"/>
      <c r="P1482" s="2"/>
    </row>
    <row r="1483" spans="1:16" x14ac:dyDescent="0.25">
      <c r="A1483" s="2"/>
      <c r="B1483" s="2"/>
      <c r="F1483" s="1"/>
      <c r="G1483" s="1"/>
      <c r="I1483" s="1"/>
      <c r="J1483" s="1"/>
      <c r="L1483" s="1"/>
      <c r="M1483" s="1"/>
      <c r="O1483" s="2"/>
      <c r="P1483" s="2"/>
    </row>
    <row r="1484" spans="1:16" x14ac:dyDescent="0.25">
      <c r="A1484" s="2"/>
      <c r="B1484" s="2"/>
      <c r="F1484" s="1"/>
      <c r="G1484" s="1"/>
      <c r="I1484" s="1"/>
      <c r="J1484" s="1"/>
      <c r="L1484" s="1"/>
      <c r="M1484" s="1"/>
      <c r="O1484" s="2"/>
      <c r="P1484" s="2"/>
    </row>
    <row r="1485" spans="1:16" x14ac:dyDescent="0.25">
      <c r="A1485" s="2"/>
      <c r="B1485" s="2"/>
      <c r="F1485" s="1"/>
      <c r="G1485" s="1"/>
      <c r="I1485" s="1"/>
      <c r="J1485" s="1"/>
      <c r="L1485" s="1"/>
      <c r="M1485" s="1"/>
      <c r="O1485" s="2"/>
      <c r="P1485" s="2"/>
    </row>
    <row r="1486" spans="1:16" x14ac:dyDescent="0.25">
      <c r="A1486" s="2"/>
      <c r="B1486" s="2"/>
      <c r="F1486" s="1"/>
      <c r="G1486" s="1"/>
      <c r="I1486" s="1"/>
      <c r="J1486" s="1"/>
      <c r="L1486" s="1"/>
      <c r="M1486" s="1"/>
      <c r="O1486" s="2"/>
      <c r="P1486" s="2"/>
    </row>
    <row r="1487" spans="1:16" x14ac:dyDescent="0.25">
      <c r="A1487" s="2"/>
      <c r="B1487" s="2"/>
      <c r="F1487" s="1"/>
      <c r="G1487" s="1"/>
      <c r="I1487" s="1"/>
      <c r="J1487" s="1"/>
      <c r="L1487" s="1"/>
      <c r="M1487" s="1"/>
      <c r="O1487" s="2"/>
      <c r="P1487" s="2"/>
    </row>
    <row r="1488" spans="1:16" x14ac:dyDescent="0.25">
      <c r="A1488" s="2"/>
      <c r="B1488" s="2"/>
      <c r="F1488" s="1"/>
      <c r="G1488" s="1"/>
      <c r="I1488" s="1"/>
      <c r="J1488" s="1"/>
      <c r="L1488" s="1"/>
      <c r="M1488" s="1"/>
      <c r="O1488" s="2"/>
      <c r="P1488" s="2"/>
    </row>
    <row r="1489" spans="1:16" x14ac:dyDescent="0.25">
      <c r="A1489" s="2"/>
      <c r="B1489" s="2"/>
      <c r="F1489" s="1"/>
      <c r="G1489" s="1"/>
      <c r="I1489" s="1"/>
      <c r="J1489" s="1"/>
      <c r="L1489" s="1"/>
      <c r="M1489" s="1"/>
      <c r="O1489" s="2"/>
      <c r="P1489" s="2"/>
    </row>
    <row r="1490" spans="1:16" x14ac:dyDescent="0.25">
      <c r="A1490" s="2"/>
      <c r="B1490" s="2"/>
      <c r="F1490" s="1"/>
      <c r="G1490" s="1"/>
      <c r="I1490" s="1"/>
      <c r="J1490" s="1"/>
      <c r="L1490" s="1"/>
      <c r="M1490" s="1"/>
      <c r="O1490" s="2"/>
      <c r="P1490" s="2"/>
    </row>
    <row r="1491" spans="1:16" x14ac:dyDescent="0.25">
      <c r="A1491" s="2"/>
      <c r="B1491" s="2"/>
      <c r="F1491" s="1"/>
      <c r="G1491" s="1"/>
      <c r="I1491" s="1"/>
      <c r="J1491" s="1"/>
      <c r="L1491" s="1"/>
      <c r="M1491" s="1"/>
      <c r="O1491" s="2"/>
      <c r="P1491" s="2"/>
    </row>
    <row r="1492" spans="1:16" x14ac:dyDescent="0.25">
      <c r="A1492" s="2"/>
      <c r="B1492" s="2"/>
      <c r="F1492" s="1"/>
      <c r="G1492" s="1"/>
      <c r="I1492" s="1"/>
      <c r="J1492" s="1"/>
      <c r="L1492" s="1"/>
      <c r="M1492" s="1"/>
      <c r="O1492" s="2"/>
      <c r="P1492" s="2"/>
    </row>
    <row r="1493" spans="1:16" x14ac:dyDescent="0.25">
      <c r="A1493" s="2"/>
      <c r="B1493" s="2"/>
      <c r="F1493" s="1"/>
      <c r="G1493" s="1"/>
      <c r="I1493" s="1"/>
      <c r="J1493" s="1"/>
      <c r="L1493" s="1"/>
      <c r="M1493" s="1"/>
      <c r="O1493" s="2"/>
      <c r="P1493" s="2"/>
    </row>
    <row r="1494" spans="1:16" x14ac:dyDescent="0.25">
      <c r="A1494" s="2"/>
      <c r="B1494" s="2"/>
      <c r="F1494" s="1"/>
      <c r="G1494" s="1"/>
      <c r="I1494" s="1"/>
      <c r="J1494" s="1"/>
      <c r="L1494" s="1"/>
      <c r="M1494" s="1"/>
      <c r="O1494" s="2"/>
      <c r="P1494" s="2"/>
    </row>
    <row r="1495" spans="1:16" x14ac:dyDescent="0.25">
      <c r="A1495" s="2"/>
      <c r="B1495" s="2"/>
      <c r="F1495" s="1"/>
      <c r="G1495" s="1"/>
      <c r="I1495" s="1"/>
      <c r="J1495" s="1"/>
      <c r="L1495" s="1"/>
      <c r="M1495" s="1"/>
      <c r="O1495" s="2"/>
      <c r="P1495" s="2"/>
    </row>
    <row r="1496" spans="1:16" x14ac:dyDescent="0.25">
      <c r="A1496" s="2"/>
      <c r="B1496" s="2"/>
      <c r="F1496" s="1"/>
      <c r="G1496" s="1"/>
      <c r="I1496" s="1"/>
      <c r="J1496" s="1"/>
      <c r="L1496" s="1"/>
      <c r="M1496" s="1"/>
      <c r="O1496" s="2"/>
      <c r="P1496" s="2"/>
    </row>
    <row r="1497" spans="1:16" x14ac:dyDescent="0.25">
      <c r="A1497" s="2"/>
      <c r="B1497" s="2"/>
      <c r="F1497" s="1"/>
      <c r="G1497" s="1"/>
      <c r="I1497" s="1"/>
      <c r="J1497" s="1"/>
      <c r="L1497" s="1"/>
      <c r="M1497" s="1"/>
      <c r="O1497" s="2"/>
      <c r="P1497" s="2"/>
    </row>
    <row r="1498" spans="1:16" x14ac:dyDescent="0.25">
      <c r="A1498" s="2"/>
      <c r="B1498" s="2"/>
      <c r="F1498" s="1"/>
      <c r="G1498" s="1"/>
      <c r="I1498" s="1"/>
      <c r="J1498" s="1"/>
      <c r="L1498" s="1"/>
      <c r="M1498" s="1"/>
      <c r="O1498" s="2"/>
      <c r="P1498" s="2"/>
    </row>
    <row r="1499" spans="1:16" x14ac:dyDescent="0.25">
      <c r="A1499" s="2"/>
      <c r="B1499" s="2"/>
      <c r="F1499" s="1"/>
      <c r="G1499" s="1"/>
      <c r="I1499" s="1"/>
      <c r="J1499" s="1"/>
      <c r="L1499" s="1"/>
      <c r="M1499" s="1"/>
      <c r="O1499" s="2"/>
      <c r="P1499" s="2"/>
    </row>
    <row r="1500" spans="1:16" x14ac:dyDescent="0.25">
      <c r="A1500" s="2"/>
      <c r="B1500" s="2"/>
      <c r="F1500" s="1"/>
      <c r="G1500" s="1"/>
      <c r="I1500" s="1"/>
      <c r="J1500" s="1"/>
      <c r="L1500" s="1"/>
      <c r="M1500" s="1"/>
      <c r="O1500" s="2"/>
      <c r="P1500" s="2"/>
    </row>
    <row r="1501" spans="1:16" x14ac:dyDescent="0.25">
      <c r="A1501" s="2"/>
      <c r="B1501" s="2"/>
      <c r="F1501" s="1"/>
      <c r="G1501" s="1"/>
      <c r="I1501" s="1"/>
      <c r="J1501" s="1"/>
      <c r="L1501" s="1"/>
      <c r="M1501" s="1"/>
      <c r="O1501" s="2"/>
      <c r="P1501" s="2"/>
    </row>
    <row r="1502" spans="1:16" x14ac:dyDescent="0.25">
      <c r="A1502" s="2"/>
      <c r="B1502" s="2"/>
      <c r="F1502" s="1"/>
      <c r="G1502" s="1"/>
      <c r="I1502" s="1"/>
      <c r="J1502" s="1"/>
      <c r="L1502" s="1"/>
      <c r="M1502" s="1"/>
      <c r="O1502" s="2"/>
      <c r="P1502" s="2"/>
    </row>
    <row r="1503" spans="1:16" x14ac:dyDescent="0.25">
      <c r="A1503" s="2"/>
      <c r="B1503" s="2"/>
      <c r="F1503" s="1"/>
      <c r="G1503" s="1"/>
      <c r="I1503" s="1"/>
      <c r="J1503" s="1"/>
      <c r="L1503" s="1"/>
      <c r="M1503" s="1"/>
      <c r="O1503" s="2"/>
      <c r="P1503" s="2"/>
    </row>
    <row r="1504" spans="1:16" x14ac:dyDescent="0.25">
      <c r="A1504" s="2"/>
      <c r="B1504" s="2"/>
      <c r="F1504" s="1"/>
      <c r="G1504" s="1"/>
      <c r="I1504" s="1"/>
      <c r="J1504" s="1"/>
      <c r="L1504" s="1"/>
      <c r="M1504" s="1"/>
      <c r="O1504" s="2"/>
      <c r="P1504" s="2"/>
    </row>
    <row r="1505" spans="1:16" x14ac:dyDescent="0.25">
      <c r="A1505" s="2"/>
      <c r="B1505" s="2"/>
      <c r="F1505" s="1"/>
      <c r="G1505" s="1"/>
      <c r="I1505" s="1"/>
      <c r="J1505" s="1"/>
      <c r="L1505" s="1"/>
      <c r="M1505" s="1"/>
      <c r="O1505" s="2"/>
      <c r="P1505" s="2"/>
    </row>
    <row r="1506" spans="1:16" x14ac:dyDescent="0.25">
      <c r="A1506" s="2"/>
      <c r="B1506" s="2"/>
      <c r="F1506" s="1"/>
      <c r="G1506" s="1"/>
      <c r="I1506" s="1"/>
      <c r="J1506" s="1"/>
      <c r="L1506" s="1"/>
      <c r="M1506" s="1"/>
      <c r="O1506" s="2"/>
      <c r="P1506" s="2"/>
    </row>
    <row r="1507" spans="1:16" x14ac:dyDescent="0.25">
      <c r="A1507" s="2"/>
      <c r="B1507" s="2"/>
      <c r="F1507" s="1"/>
      <c r="G1507" s="1"/>
      <c r="I1507" s="1"/>
      <c r="J1507" s="1"/>
      <c r="L1507" s="1"/>
      <c r="M1507" s="1"/>
      <c r="O1507" s="2"/>
      <c r="P1507" s="2"/>
    </row>
    <row r="1508" spans="1:16" x14ac:dyDescent="0.25">
      <c r="A1508" s="2"/>
      <c r="B1508" s="2"/>
      <c r="F1508" s="1"/>
      <c r="G1508" s="1"/>
      <c r="I1508" s="1"/>
      <c r="J1508" s="1"/>
      <c r="L1508" s="1"/>
      <c r="M1508" s="1"/>
      <c r="O1508" s="2"/>
      <c r="P1508" s="2"/>
    </row>
    <row r="1509" spans="1:16" x14ac:dyDescent="0.25">
      <c r="A1509" s="2"/>
      <c r="B1509" s="2"/>
      <c r="F1509" s="1"/>
      <c r="G1509" s="1"/>
      <c r="I1509" s="1"/>
      <c r="J1509" s="1"/>
      <c r="L1509" s="1"/>
      <c r="M1509" s="1"/>
      <c r="O1509" s="2"/>
      <c r="P1509" s="2"/>
    </row>
    <row r="1510" spans="1:16" x14ac:dyDescent="0.25">
      <c r="A1510" s="2"/>
      <c r="B1510" s="2"/>
      <c r="F1510" s="1"/>
      <c r="G1510" s="1"/>
      <c r="I1510" s="1"/>
      <c r="J1510" s="1"/>
      <c r="L1510" s="1"/>
      <c r="M1510" s="1"/>
      <c r="O1510" s="2"/>
      <c r="P1510" s="2"/>
    </row>
    <row r="1511" spans="1:16" x14ac:dyDescent="0.25">
      <c r="A1511" s="2"/>
      <c r="B1511" s="2"/>
      <c r="F1511" s="1"/>
      <c r="G1511" s="1"/>
      <c r="I1511" s="1"/>
      <c r="J1511" s="1"/>
      <c r="L1511" s="1"/>
      <c r="M1511" s="1"/>
      <c r="O1511" s="2"/>
      <c r="P1511" s="2"/>
    </row>
    <row r="1512" spans="1:16" x14ac:dyDescent="0.25">
      <c r="A1512" s="2"/>
      <c r="B1512" s="2"/>
      <c r="F1512" s="1"/>
      <c r="G1512" s="1"/>
      <c r="I1512" s="1"/>
      <c r="J1512" s="1"/>
      <c r="L1512" s="1"/>
      <c r="M1512" s="1"/>
      <c r="O1512" s="2"/>
      <c r="P1512" s="2"/>
    </row>
    <row r="1513" spans="1:16" x14ac:dyDescent="0.25">
      <c r="A1513" s="2"/>
      <c r="B1513" s="2"/>
      <c r="F1513" s="1"/>
      <c r="G1513" s="1"/>
      <c r="I1513" s="1"/>
      <c r="J1513" s="1"/>
      <c r="L1513" s="1"/>
      <c r="M1513" s="1"/>
      <c r="O1513" s="2"/>
      <c r="P1513" s="2"/>
    </row>
    <row r="1514" spans="1:16" x14ac:dyDescent="0.25">
      <c r="A1514" s="2"/>
      <c r="B1514" s="2"/>
      <c r="F1514" s="1"/>
      <c r="G1514" s="1"/>
      <c r="I1514" s="1"/>
      <c r="J1514" s="1"/>
      <c r="L1514" s="1"/>
      <c r="M1514" s="1"/>
      <c r="O1514" s="2"/>
      <c r="P1514" s="2"/>
    </row>
    <row r="1515" spans="1:16" x14ac:dyDescent="0.25">
      <c r="A1515" s="2"/>
      <c r="B1515" s="2"/>
      <c r="F1515" s="1"/>
      <c r="G1515" s="1"/>
      <c r="I1515" s="1"/>
      <c r="J1515" s="1"/>
      <c r="L1515" s="1"/>
      <c r="M1515" s="1"/>
      <c r="O1515" s="2"/>
      <c r="P1515" s="2"/>
    </row>
    <row r="1516" spans="1:16" x14ac:dyDescent="0.25">
      <c r="A1516" s="2"/>
      <c r="B1516" s="2"/>
      <c r="F1516" s="1"/>
      <c r="G1516" s="1"/>
      <c r="I1516" s="1"/>
      <c r="J1516" s="1"/>
      <c r="L1516" s="1"/>
      <c r="M1516" s="1"/>
      <c r="O1516" s="2"/>
      <c r="P1516" s="2"/>
    </row>
    <row r="1517" spans="1:16" x14ac:dyDescent="0.25">
      <c r="A1517" s="2"/>
      <c r="B1517" s="2"/>
      <c r="F1517" s="1"/>
      <c r="G1517" s="1"/>
      <c r="I1517" s="1"/>
      <c r="J1517" s="1"/>
      <c r="L1517" s="1"/>
      <c r="M1517" s="1"/>
      <c r="O1517" s="2"/>
      <c r="P1517" s="2"/>
    </row>
    <row r="1518" spans="1:16" x14ac:dyDescent="0.25">
      <c r="A1518" s="2"/>
      <c r="B1518" s="2"/>
      <c r="F1518" s="1"/>
      <c r="G1518" s="1"/>
      <c r="I1518" s="1"/>
      <c r="J1518" s="1"/>
      <c r="L1518" s="1"/>
      <c r="M1518" s="1"/>
      <c r="O1518" s="2"/>
      <c r="P1518" s="2"/>
    </row>
    <row r="1519" spans="1:16" x14ac:dyDescent="0.25">
      <c r="A1519" s="2"/>
      <c r="B1519" s="2"/>
      <c r="F1519" s="1"/>
      <c r="G1519" s="1"/>
      <c r="I1519" s="1"/>
      <c r="J1519" s="1"/>
      <c r="L1519" s="1"/>
      <c r="M1519" s="1"/>
      <c r="O1519" s="2"/>
      <c r="P1519" s="2"/>
    </row>
    <row r="1520" spans="1:16" x14ac:dyDescent="0.25">
      <c r="A1520" s="2"/>
      <c r="B1520" s="2"/>
      <c r="F1520" s="1"/>
      <c r="G1520" s="1"/>
      <c r="I1520" s="1"/>
      <c r="J1520" s="1"/>
      <c r="L1520" s="1"/>
      <c r="M1520" s="1"/>
      <c r="O1520" s="2"/>
      <c r="P1520" s="2"/>
    </row>
    <row r="1521" spans="1:16" x14ac:dyDescent="0.25">
      <c r="A1521" s="2"/>
      <c r="B1521" s="2"/>
      <c r="F1521" s="1"/>
      <c r="G1521" s="1"/>
      <c r="I1521" s="1"/>
      <c r="J1521" s="1"/>
      <c r="L1521" s="1"/>
      <c r="M1521" s="1"/>
      <c r="O1521" s="2"/>
      <c r="P1521" s="2"/>
    </row>
    <row r="1522" spans="1:16" x14ac:dyDescent="0.25">
      <c r="A1522" s="2"/>
      <c r="B1522" s="2"/>
      <c r="F1522" s="1"/>
      <c r="G1522" s="1"/>
      <c r="I1522" s="1"/>
      <c r="J1522" s="1"/>
      <c r="L1522" s="1"/>
      <c r="M1522" s="1"/>
      <c r="O1522" s="2"/>
      <c r="P1522" s="2"/>
    </row>
    <row r="1523" spans="1:16" x14ac:dyDescent="0.25">
      <c r="A1523" s="2"/>
      <c r="B1523" s="2"/>
      <c r="F1523" s="1"/>
      <c r="G1523" s="1"/>
      <c r="I1523" s="1"/>
      <c r="J1523" s="1"/>
      <c r="L1523" s="1"/>
      <c r="M1523" s="1"/>
      <c r="O1523" s="2"/>
      <c r="P1523" s="2"/>
    </row>
    <row r="1524" spans="1:16" x14ac:dyDescent="0.25">
      <c r="A1524" s="2"/>
      <c r="B1524" s="2"/>
      <c r="F1524" s="1"/>
      <c r="G1524" s="1"/>
      <c r="I1524" s="1"/>
      <c r="J1524" s="1"/>
      <c r="L1524" s="1"/>
      <c r="M1524" s="1"/>
      <c r="O1524" s="2"/>
      <c r="P1524" s="2"/>
    </row>
    <row r="1525" spans="1:16" x14ac:dyDescent="0.25">
      <c r="A1525" s="2"/>
      <c r="B1525" s="2"/>
      <c r="F1525" s="1"/>
      <c r="G1525" s="1"/>
      <c r="I1525" s="1"/>
      <c r="J1525" s="1"/>
      <c r="L1525" s="1"/>
      <c r="M1525" s="1"/>
      <c r="O1525" s="2"/>
      <c r="P1525" s="2"/>
    </row>
    <row r="1526" spans="1:16" x14ac:dyDescent="0.25">
      <c r="A1526" s="2"/>
      <c r="B1526" s="2"/>
      <c r="F1526" s="1"/>
      <c r="G1526" s="1"/>
      <c r="I1526" s="1"/>
      <c r="J1526" s="1"/>
      <c r="L1526" s="1"/>
      <c r="M1526" s="1"/>
      <c r="O1526" s="2"/>
      <c r="P1526" s="2"/>
    </row>
    <row r="1527" spans="1:16" x14ac:dyDescent="0.25">
      <c r="A1527" s="2"/>
      <c r="B1527" s="2"/>
      <c r="F1527" s="1"/>
      <c r="G1527" s="1"/>
      <c r="I1527" s="1"/>
      <c r="J1527" s="1"/>
      <c r="L1527" s="1"/>
      <c r="M1527" s="1"/>
      <c r="O1527" s="2"/>
      <c r="P1527" s="2"/>
    </row>
    <row r="1528" spans="1:16" x14ac:dyDescent="0.25">
      <c r="A1528" s="2"/>
      <c r="B1528" s="2"/>
      <c r="F1528" s="1"/>
      <c r="G1528" s="1"/>
      <c r="I1528" s="1"/>
      <c r="J1528" s="1"/>
      <c r="L1528" s="1"/>
      <c r="M1528" s="1"/>
      <c r="O1528" s="2"/>
      <c r="P1528" s="2"/>
    </row>
    <row r="1529" spans="1:16" x14ac:dyDescent="0.25">
      <c r="A1529" s="2"/>
      <c r="B1529" s="2"/>
      <c r="F1529" s="1"/>
      <c r="G1529" s="1"/>
      <c r="I1529" s="1"/>
      <c r="J1529" s="1"/>
      <c r="L1529" s="1"/>
      <c r="M1529" s="1"/>
      <c r="O1529" s="2"/>
      <c r="P1529" s="2"/>
    </row>
    <row r="1530" spans="1:16" x14ac:dyDescent="0.25">
      <c r="A1530" s="2"/>
      <c r="B1530" s="2"/>
      <c r="F1530" s="1"/>
      <c r="G1530" s="1"/>
      <c r="I1530" s="1"/>
      <c r="J1530" s="1"/>
      <c r="L1530" s="1"/>
      <c r="M1530" s="1"/>
      <c r="O1530" s="2"/>
      <c r="P1530" s="2"/>
    </row>
    <row r="1531" spans="1:16" x14ac:dyDescent="0.25">
      <c r="A1531" s="2"/>
      <c r="B1531" s="2"/>
      <c r="F1531" s="1"/>
      <c r="G1531" s="1"/>
      <c r="I1531" s="1"/>
      <c r="J1531" s="1"/>
      <c r="L1531" s="1"/>
      <c r="M1531" s="1"/>
      <c r="O1531" s="2"/>
      <c r="P1531" s="2"/>
    </row>
    <row r="1532" spans="1:16" x14ac:dyDescent="0.25">
      <c r="A1532" s="2"/>
      <c r="B1532" s="2"/>
      <c r="F1532" s="1"/>
      <c r="G1532" s="1"/>
      <c r="I1532" s="1"/>
      <c r="J1532" s="1"/>
      <c r="L1532" s="1"/>
      <c r="M1532" s="1"/>
      <c r="O1532" s="2"/>
      <c r="P1532" s="2"/>
    </row>
    <row r="1533" spans="1:16" x14ac:dyDescent="0.25">
      <c r="A1533" s="2"/>
      <c r="B1533" s="2"/>
      <c r="F1533" s="1"/>
      <c r="G1533" s="1"/>
      <c r="I1533" s="1"/>
      <c r="J1533" s="1"/>
      <c r="L1533" s="1"/>
      <c r="M1533" s="1"/>
      <c r="O1533" s="2"/>
      <c r="P1533" s="2"/>
    </row>
    <row r="1534" spans="1:16" x14ac:dyDescent="0.25">
      <c r="A1534" s="2"/>
      <c r="B1534" s="2"/>
      <c r="F1534" s="1"/>
      <c r="G1534" s="1"/>
      <c r="I1534" s="1"/>
      <c r="J1534" s="1"/>
      <c r="L1534" s="1"/>
      <c r="M1534" s="1"/>
      <c r="O1534" s="2"/>
      <c r="P1534" s="2"/>
    </row>
    <row r="1535" spans="1:16" x14ac:dyDescent="0.25">
      <c r="A1535" s="2"/>
      <c r="B1535" s="2"/>
      <c r="F1535" s="1"/>
      <c r="G1535" s="1"/>
      <c r="I1535" s="1"/>
      <c r="J1535" s="1"/>
      <c r="L1535" s="1"/>
      <c r="M1535" s="1"/>
      <c r="O1535" s="2"/>
      <c r="P1535" s="2"/>
    </row>
    <row r="1536" spans="1:16" x14ac:dyDescent="0.25">
      <c r="A1536" s="2"/>
      <c r="B1536" s="2"/>
      <c r="F1536" s="1"/>
      <c r="G1536" s="1"/>
      <c r="I1536" s="1"/>
      <c r="J1536" s="1"/>
      <c r="L1536" s="1"/>
      <c r="M1536" s="1"/>
      <c r="O1536" s="2"/>
      <c r="P1536" s="2"/>
    </row>
    <row r="1537" spans="1:16" x14ac:dyDescent="0.25">
      <c r="A1537" s="2"/>
      <c r="B1537" s="2"/>
      <c r="F1537" s="1"/>
      <c r="G1537" s="1"/>
      <c r="I1537" s="1"/>
      <c r="J1537" s="1"/>
      <c r="L1537" s="1"/>
      <c r="M1537" s="1"/>
      <c r="O1537" s="2"/>
      <c r="P1537" s="2"/>
    </row>
    <row r="1538" spans="1:16" x14ac:dyDescent="0.25">
      <c r="A1538" s="2"/>
      <c r="B1538" s="2"/>
      <c r="F1538" s="1"/>
      <c r="G1538" s="1"/>
      <c r="I1538" s="1"/>
      <c r="J1538" s="1"/>
      <c r="L1538" s="1"/>
      <c r="M1538" s="1"/>
      <c r="O1538" s="2"/>
      <c r="P1538" s="2"/>
    </row>
    <row r="1539" spans="1:16" x14ac:dyDescent="0.25">
      <c r="A1539" s="2"/>
      <c r="B1539" s="2"/>
      <c r="F1539" s="1"/>
      <c r="G1539" s="1"/>
      <c r="I1539" s="1"/>
      <c r="J1539" s="1"/>
      <c r="L1539" s="1"/>
      <c r="M1539" s="1"/>
      <c r="O1539" s="2"/>
      <c r="P1539" s="2"/>
    </row>
    <row r="1540" spans="1:16" x14ac:dyDescent="0.25">
      <c r="A1540" s="2"/>
      <c r="B1540" s="2"/>
      <c r="F1540" s="1"/>
      <c r="G1540" s="1"/>
      <c r="I1540" s="1"/>
      <c r="J1540" s="1"/>
      <c r="L1540" s="1"/>
      <c r="M1540" s="1"/>
      <c r="O1540" s="2"/>
      <c r="P1540" s="2"/>
    </row>
    <row r="1541" spans="1:16" x14ac:dyDescent="0.25">
      <c r="A1541" s="2"/>
      <c r="B1541" s="2"/>
      <c r="F1541" s="1"/>
      <c r="G1541" s="1"/>
      <c r="I1541" s="1"/>
      <c r="J1541" s="1"/>
      <c r="L1541" s="1"/>
      <c r="M1541" s="1"/>
      <c r="O1541" s="2"/>
      <c r="P1541" s="2"/>
    </row>
    <row r="1542" spans="1:16" x14ac:dyDescent="0.25">
      <c r="A1542" s="2"/>
      <c r="B1542" s="2"/>
      <c r="F1542" s="1"/>
      <c r="G1542" s="1"/>
      <c r="I1542" s="1"/>
      <c r="J1542" s="1"/>
      <c r="L1542" s="1"/>
      <c r="M1542" s="1"/>
      <c r="O1542" s="2"/>
      <c r="P1542" s="2"/>
    </row>
    <row r="1543" spans="1:16" x14ac:dyDescent="0.25">
      <c r="A1543" s="2"/>
      <c r="B1543" s="2"/>
      <c r="F1543" s="1"/>
      <c r="G1543" s="1"/>
      <c r="I1543" s="1"/>
      <c r="J1543" s="1"/>
      <c r="L1543" s="1"/>
      <c r="M1543" s="1"/>
      <c r="O1543" s="2"/>
      <c r="P1543" s="2"/>
    </row>
    <row r="1544" spans="1:16" x14ac:dyDescent="0.25">
      <c r="A1544" s="2"/>
      <c r="B1544" s="2"/>
      <c r="F1544" s="1"/>
      <c r="G1544" s="1"/>
      <c r="I1544" s="1"/>
      <c r="J1544" s="1"/>
      <c r="L1544" s="1"/>
      <c r="M1544" s="1"/>
      <c r="O1544" s="2"/>
      <c r="P1544" s="2"/>
    </row>
    <row r="1545" spans="1:16" x14ac:dyDescent="0.25">
      <c r="A1545" s="2"/>
      <c r="B1545" s="2"/>
      <c r="F1545" s="1"/>
      <c r="G1545" s="1"/>
      <c r="I1545" s="1"/>
      <c r="J1545" s="1"/>
      <c r="L1545" s="1"/>
      <c r="M1545" s="1"/>
      <c r="O1545" s="2"/>
      <c r="P1545" s="2"/>
    </row>
    <row r="1546" spans="1:16" x14ac:dyDescent="0.25">
      <c r="A1546" s="2"/>
      <c r="B1546" s="2"/>
      <c r="F1546" s="1"/>
      <c r="G1546" s="1"/>
      <c r="I1546" s="1"/>
      <c r="J1546" s="1"/>
      <c r="L1546" s="1"/>
      <c r="M1546" s="1"/>
      <c r="O1546" s="2"/>
      <c r="P1546" s="2"/>
    </row>
    <row r="1547" spans="1:16" x14ac:dyDescent="0.25">
      <c r="A1547" s="2"/>
      <c r="B1547" s="2"/>
      <c r="F1547" s="1"/>
      <c r="G1547" s="1"/>
      <c r="I1547" s="1"/>
      <c r="J1547" s="1"/>
      <c r="L1547" s="1"/>
      <c r="M1547" s="1"/>
      <c r="O1547" s="2"/>
      <c r="P1547" s="2"/>
    </row>
    <row r="1548" spans="1:16" x14ac:dyDescent="0.25">
      <c r="A1548" s="2"/>
      <c r="B1548" s="2"/>
      <c r="F1548" s="1"/>
      <c r="G1548" s="1"/>
      <c r="I1548" s="1"/>
      <c r="J1548" s="1"/>
      <c r="L1548" s="1"/>
      <c r="M1548" s="1"/>
      <c r="O1548" s="2"/>
      <c r="P1548" s="2"/>
    </row>
    <row r="1549" spans="1:16" x14ac:dyDescent="0.25">
      <c r="A1549" s="2"/>
      <c r="B1549" s="2"/>
      <c r="F1549" s="1"/>
      <c r="G1549" s="1"/>
      <c r="I1549" s="1"/>
      <c r="J1549" s="1"/>
      <c r="L1549" s="1"/>
      <c r="M1549" s="1"/>
      <c r="O1549" s="2"/>
      <c r="P1549" s="2"/>
    </row>
    <row r="1550" spans="1:16" x14ac:dyDescent="0.25">
      <c r="A1550" s="2"/>
      <c r="B1550" s="2"/>
      <c r="F1550" s="1"/>
      <c r="G1550" s="1"/>
      <c r="I1550" s="1"/>
      <c r="J1550" s="1"/>
      <c r="L1550" s="1"/>
      <c r="M1550" s="1"/>
      <c r="O1550" s="2"/>
      <c r="P1550" s="2"/>
    </row>
    <row r="1551" spans="1:16" x14ac:dyDescent="0.25">
      <c r="A1551" s="2"/>
      <c r="B1551" s="2"/>
      <c r="F1551" s="1"/>
      <c r="G1551" s="1"/>
      <c r="I1551" s="1"/>
      <c r="J1551" s="1"/>
      <c r="L1551" s="1"/>
      <c r="M1551" s="1"/>
      <c r="O1551" s="2"/>
      <c r="P1551" s="2"/>
    </row>
    <row r="1552" spans="1:16" x14ac:dyDescent="0.25">
      <c r="A1552" s="2"/>
      <c r="B1552" s="2"/>
      <c r="F1552" s="1"/>
      <c r="G1552" s="1"/>
      <c r="I1552" s="1"/>
      <c r="J1552" s="1"/>
      <c r="L1552" s="1"/>
      <c r="M1552" s="1"/>
      <c r="O1552" s="2"/>
      <c r="P1552" s="2"/>
    </row>
    <row r="1553" spans="1:16" x14ac:dyDescent="0.25">
      <c r="A1553" s="2"/>
      <c r="B1553" s="2"/>
      <c r="F1553" s="1"/>
      <c r="G1553" s="1"/>
      <c r="I1553" s="1"/>
      <c r="J1553" s="1"/>
      <c r="L1553" s="1"/>
      <c r="M1553" s="1"/>
      <c r="O1553" s="2"/>
      <c r="P1553" s="2"/>
    </row>
    <row r="1554" spans="1:16" x14ac:dyDescent="0.25">
      <c r="A1554" s="2"/>
      <c r="B1554" s="2"/>
      <c r="F1554" s="1"/>
      <c r="G1554" s="1"/>
      <c r="I1554" s="1"/>
      <c r="J1554" s="1"/>
      <c r="L1554" s="1"/>
      <c r="M1554" s="1"/>
      <c r="O1554" s="2"/>
      <c r="P1554" s="2"/>
    </row>
    <row r="1555" spans="1:16" x14ac:dyDescent="0.25">
      <c r="A1555" s="2"/>
      <c r="B1555" s="2"/>
      <c r="F1555" s="1"/>
      <c r="G1555" s="1"/>
      <c r="I1555" s="1"/>
      <c r="J1555" s="1"/>
      <c r="L1555" s="1"/>
      <c r="M1555" s="1"/>
      <c r="O1555" s="2"/>
      <c r="P1555" s="2"/>
    </row>
    <row r="1556" spans="1:16" x14ac:dyDescent="0.25">
      <c r="A1556" s="2"/>
      <c r="B1556" s="2"/>
      <c r="F1556" s="1"/>
      <c r="G1556" s="1"/>
      <c r="I1556" s="1"/>
      <c r="J1556" s="1"/>
      <c r="L1556" s="1"/>
      <c r="M1556" s="1"/>
      <c r="O1556" s="2"/>
      <c r="P1556" s="2"/>
    </row>
    <row r="1557" spans="1:16" x14ac:dyDescent="0.25">
      <c r="A1557" s="2"/>
      <c r="B1557" s="2"/>
      <c r="F1557" s="1"/>
      <c r="G1557" s="1"/>
      <c r="I1557" s="1"/>
      <c r="J1557" s="1"/>
      <c r="L1557" s="1"/>
      <c r="M1557" s="1"/>
      <c r="O1557" s="2"/>
      <c r="P1557" s="2"/>
    </row>
    <row r="1558" spans="1:16" x14ac:dyDescent="0.25">
      <c r="A1558" s="2"/>
      <c r="B1558" s="2"/>
      <c r="F1558" s="1"/>
      <c r="G1558" s="1"/>
      <c r="I1558" s="1"/>
      <c r="J1558" s="1"/>
      <c r="L1558" s="1"/>
      <c r="M1558" s="1"/>
      <c r="O1558" s="2"/>
      <c r="P1558" s="2"/>
    </row>
    <row r="1559" spans="1:16" x14ac:dyDescent="0.25">
      <c r="A1559" s="2"/>
      <c r="B1559" s="2"/>
      <c r="F1559" s="1"/>
      <c r="G1559" s="1"/>
      <c r="I1559" s="1"/>
      <c r="J1559" s="1"/>
      <c r="L1559" s="1"/>
      <c r="M1559" s="1"/>
      <c r="O1559" s="2"/>
      <c r="P1559" s="2"/>
    </row>
    <row r="1560" spans="1:16" x14ac:dyDescent="0.25">
      <c r="A1560" s="2"/>
      <c r="B1560" s="2"/>
      <c r="F1560" s="1"/>
      <c r="G1560" s="1"/>
      <c r="I1560" s="1"/>
      <c r="J1560" s="1"/>
      <c r="L1560" s="1"/>
      <c r="M1560" s="1"/>
      <c r="O1560" s="2"/>
      <c r="P1560" s="2"/>
    </row>
    <row r="1561" spans="1:16" x14ac:dyDescent="0.25">
      <c r="A1561" s="2"/>
      <c r="B1561" s="2"/>
      <c r="F1561" s="1"/>
      <c r="G1561" s="1"/>
      <c r="I1561" s="1"/>
      <c r="J1561" s="1"/>
      <c r="L1561" s="1"/>
      <c r="M1561" s="1"/>
      <c r="O1561" s="2"/>
      <c r="P1561" s="2"/>
    </row>
    <row r="1562" spans="1:16" x14ac:dyDescent="0.25">
      <c r="A1562" s="2"/>
      <c r="B1562" s="2"/>
      <c r="F1562" s="1"/>
      <c r="G1562" s="1"/>
      <c r="I1562" s="1"/>
      <c r="J1562" s="1"/>
      <c r="L1562" s="1"/>
      <c r="M1562" s="1"/>
      <c r="O1562" s="2"/>
      <c r="P1562" s="2"/>
    </row>
    <row r="1563" spans="1:16" x14ac:dyDescent="0.25">
      <c r="A1563" s="2"/>
      <c r="B1563" s="2"/>
      <c r="F1563" s="1"/>
      <c r="G1563" s="1"/>
      <c r="I1563" s="1"/>
      <c r="J1563" s="1"/>
      <c r="L1563" s="1"/>
      <c r="M1563" s="1"/>
      <c r="O1563" s="2"/>
      <c r="P1563" s="2"/>
    </row>
    <row r="1564" spans="1:16" x14ac:dyDescent="0.25">
      <c r="A1564" s="2"/>
      <c r="B1564" s="2"/>
      <c r="F1564" s="1"/>
      <c r="G1564" s="1"/>
      <c r="I1564" s="1"/>
      <c r="J1564" s="1"/>
      <c r="L1564" s="1"/>
      <c r="M1564" s="1"/>
      <c r="O1564" s="2"/>
      <c r="P1564" s="2"/>
    </row>
    <row r="1565" spans="1:16" x14ac:dyDescent="0.25">
      <c r="A1565" s="2"/>
      <c r="B1565" s="2"/>
      <c r="F1565" s="1"/>
      <c r="G1565" s="1"/>
      <c r="I1565" s="1"/>
      <c r="J1565" s="1"/>
      <c r="L1565" s="1"/>
      <c r="M1565" s="1"/>
      <c r="O1565" s="2"/>
      <c r="P1565" s="2"/>
    </row>
    <row r="1566" spans="1:16" x14ac:dyDescent="0.25">
      <c r="A1566" s="2"/>
      <c r="B1566" s="2"/>
      <c r="F1566" s="1"/>
      <c r="G1566" s="1"/>
      <c r="I1566" s="1"/>
      <c r="J1566" s="1"/>
      <c r="L1566" s="1"/>
      <c r="M1566" s="1"/>
      <c r="O1566" s="2"/>
      <c r="P1566" s="2"/>
    </row>
    <row r="1567" spans="1:16" x14ac:dyDescent="0.25">
      <c r="A1567" s="2"/>
      <c r="B1567" s="2"/>
      <c r="F1567" s="1"/>
      <c r="G1567" s="1"/>
      <c r="I1567" s="1"/>
      <c r="J1567" s="1"/>
      <c r="L1567" s="1"/>
      <c r="M1567" s="1"/>
      <c r="O1567" s="2"/>
      <c r="P1567" s="2"/>
    </row>
    <row r="1568" spans="1:16" x14ac:dyDescent="0.25">
      <c r="A1568" s="2"/>
      <c r="B1568" s="2"/>
      <c r="F1568" s="1"/>
      <c r="G1568" s="1"/>
      <c r="I1568" s="1"/>
      <c r="J1568" s="1"/>
      <c r="L1568" s="1"/>
      <c r="M1568" s="1"/>
      <c r="O1568" s="2"/>
      <c r="P1568" s="2"/>
    </row>
    <row r="1569" spans="1:16" x14ac:dyDescent="0.25">
      <c r="A1569" s="2"/>
      <c r="B1569" s="2"/>
      <c r="F1569" s="1"/>
      <c r="G1569" s="1"/>
      <c r="I1569" s="1"/>
      <c r="J1569" s="1"/>
      <c r="L1569" s="1"/>
      <c r="M1569" s="1"/>
      <c r="O1569" s="2"/>
      <c r="P1569" s="2"/>
    </row>
    <row r="1570" spans="1:16" x14ac:dyDescent="0.25">
      <c r="A1570" s="2"/>
      <c r="B1570" s="2"/>
      <c r="F1570" s="1"/>
      <c r="G1570" s="1"/>
      <c r="I1570" s="1"/>
      <c r="J1570" s="1"/>
      <c r="L1570" s="1"/>
      <c r="M1570" s="1"/>
      <c r="O1570" s="2"/>
      <c r="P1570" s="2"/>
    </row>
    <row r="1571" spans="1:16" x14ac:dyDescent="0.25">
      <c r="A1571" s="2"/>
      <c r="B1571" s="2"/>
      <c r="F1571" s="1"/>
      <c r="G1571" s="1"/>
      <c r="I1571" s="1"/>
      <c r="J1571" s="1"/>
      <c r="L1571" s="1"/>
      <c r="M1571" s="1"/>
      <c r="O1571" s="2"/>
      <c r="P1571" s="2"/>
    </row>
    <row r="1572" spans="1:16" x14ac:dyDescent="0.25">
      <c r="A1572" s="2"/>
      <c r="B1572" s="2"/>
      <c r="F1572" s="1"/>
      <c r="G1572" s="1"/>
      <c r="I1572" s="1"/>
      <c r="J1572" s="1"/>
      <c r="L1572" s="1"/>
      <c r="M1572" s="1"/>
      <c r="O1572" s="2"/>
      <c r="P1572" s="2"/>
    </row>
    <row r="1573" spans="1:16" x14ac:dyDescent="0.25">
      <c r="A1573" s="2"/>
      <c r="B1573" s="2"/>
      <c r="F1573" s="1"/>
      <c r="G1573" s="1"/>
      <c r="I1573" s="1"/>
      <c r="J1573" s="1"/>
      <c r="L1573" s="1"/>
      <c r="M1573" s="1"/>
      <c r="O1573" s="2"/>
      <c r="P1573" s="2"/>
    </row>
    <row r="1574" spans="1:16" x14ac:dyDescent="0.25">
      <c r="A1574" s="2"/>
      <c r="B1574" s="2"/>
      <c r="F1574" s="1"/>
      <c r="G1574" s="1"/>
      <c r="I1574" s="1"/>
      <c r="J1574" s="1"/>
      <c r="L1574" s="1"/>
      <c r="M1574" s="1"/>
      <c r="O1574" s="2"/>
      <c r="P1574" s="2"/>
    </row>
    <row r="1575" spans="1:16" x14ac:dyDescent="0.25">
      <c r="A1575" s="2"/>
      <c r="B1575" s="2"/>
      <c r="F1575" s="1"/>
      <c r="G1575" s="1"/>
      <c r="I1575" s="1"/>
      <c r="J1575" s="1"/>
      <c r="L1575" s="1"/>
      <c r="M1575" s="1"/>
      <c r="O1575" s="2"/>
      <c r="P1575" s="2"/>
    </row>
    <row r="1576" spans="1:16" x14ac:dyDescent="0.25">
      <c r="A1576" s="2"/>
      <c r="B1576" s="2"/>
      <c r="F1576" s="1"/>
      <c r="G1576" s="1"/>
      <c r="I1576" s="1"/>
      <c r="J1576" s="1"/>
      <c r="L1576" s="1"/>
      <c r="M1576" s="1"/>
      <c r="O1576" s="2"/>
      <c r="P1576" s="2"/>
    </row>
    <row r="1577" spans="1:16" x14ac:dyDescent="0.25">
      <c r="A1577" s="2"/>
      <c r="B1577" s="2"/>
      <c r="F1577" s="1"/>
      <c r="G1577" s="1"/>
      <c r="I1577" s="1"/>
      <c r="J1577" s="1"/>
      <c r="L1577" s="1"/>
      <c r="M1577" s="1"/>
      <c r="O1577" s="2"/>
      <c r="P1577" s="2"/>
    </row>
    <row r="1578" spans="1:16" x14ac:dyDescent="0.25">
      <c r="A1578" s="2"/>
      <c r="B1578" s="2"/>
      <c r="F1578" s="1"/>
      <c r="G1578" s="1"/>
      <c r="I1578" s="1"/>
      <c r="J1578" s="1"/>
      <c r="L1578" s="1"/>
      <c r="M1578" s="1"/>
      <c r="O1578" s="2"/>
      <c r="P1578" s="2"/>
    </row>
    <row r="1579" spans="1:16" x14ac:dyDescent="0.25">
      <c r="A1579" s="2"/>
      <c r="B1579" s="2"/>
      <c r="F1579" s="1"/>
      <c r="G1579" s="1"/>
      <c r="I1579" s="1"/>
      <c r="J1579" s="1"/>
      <c r="L1579" s="1"/>
      <c r="M1579" s="1"/>
      <c r="O1579" s="2"/>
      <c r="P1579" s="2"/>
    </row>
    <row r="1580" spans="1:16" x14ac:dyDescent="0.25">
      <c r="A1580" s="2"/>
      <c r="B1580" s="2"/>
      <c r="F1580" s="1"/>
      <c r="G1580" s="1"/>
      <c r="I1580" s="1"/>
      <c r="J1580" s="1"/>
      <c r="L1580" s="1"/>
      <c r="M1580" s="1"/>
      <c r="O1580" s="2"/>
      <c r="P1580" s="2"/>
    </row>
    <row r="1581" spans="1:16" x14ac:dyDescent="0.25">
      <c r="A1581" s="2"/>
      <c r="B1581" s="2"/>
      <c r="F1581" s="1"/>
      <c r="G1581" s="1"/>
      <c r="I1581" s="1"/>
      <c r="J1581" s="1"/>
      <c r="L1581" s="1"/>
      <c r="M1581" s="1"/>
      <c r="O1581" s="2"/>
      <c r="P1581" s="2"/>
    </row>
    <row r="1582" spans="1:16" x14ac:dyDescent="0.25">
      <c r="A1582" s="2"/>
      <c r="B1582" s="2"/>
      <c r="F1582" s="1"/>
      <c r="G1582" s="1"/>
      <c r="I1582" s="1"/>
      <c r="J1582" s="1"/>
      <c r="L1582" s="1"/>
      <c r="M1582" s="1"/>
      <c r="O1582" s="2"/>
      <c r="P1582" s="2"/>
    </row>
    <row r="1583" spans="1:16" x14ac:dyDescent="0.25">
      <c r="A1583" s="2"/>
      <c r="B1583" s="2"/>
      <c r="F1583" s="1"/>
      <c r="G1583" s="1"/>
      <c r="I1583" s="1"/>
      <c r="J1583" s="1"/>
      <c r="L1583" s="1"/>
      <c r="M1583" s="1"/>
      <c r="O1583" s="2"/>
      <c r="P1583" s="2"/>
    </row>
    <row r="1584" spans="1:16" x14ac:dyDescent="0.25">
      <c r="A1584" s="2"/>
      <c r="B1584" s="2"/>
      <c r="F1584" s="1"/>
      <c r="G1584" s="1"/>
      <c r="I1584" s="1"/>
      <c r="J1584" s="1"/>
      <c r="L1584" s="1"/>
      <c r="M1584" s="1"/>
      <c r="O1584" s="2"/>
      <c r="P1584" s="2"/>
    </row>
    <row r="1585" spans="1:16" x14ac:dyDescent="0.25">
      <c r="A1585" s="2"/>
      <c r="B1585" s="2"/>
      <c r="F1585" s="1"/>
      <c r="G1585" s="1"/>
      <c r="I1585" s="1"/>
      <c r="J1585" s="1"/>
      <c r="L1585" s="1"/>
      <c r="M1585" s="1"/>
      <c r="O1585" s="2"/>
      <c r="P1585" s="2"/>
    </row>
    <row r="1586" spans="1:16" x14ac:dyDescent="0.25">
      <c r="A1586" s="2"/>
      <c r="B1586" s="2"/>
      <c r="F1586" s="1"/>
      <c r="G1586" s="1"/>
      <c r="I1586" s="1"/>
      <c r="J1586" s="1"/>
      <c r="L1586" s="1"/>
      <c r="M1586" s="1"/>
      <c r="O1586" s="2"/>
      <c r="P1586" s="2"/>
    </row>
    <row r="1587" spans="1:16" x14ac:dyDescent="0.25">
      <c r="A1587" s="2"/>
      <c r="B1587" s="2"/>
      <c r="F1587" s="1"/>
      <c r="G1587" s="1"/>
      <c r="I1587" s="1"/>
      <c r="J1587" s="1"/>
      <c r="L1587" s="1"/>
      <c r="M1587" s="1"/>
      <c r="O1587" s="2"/>
      <c r="P1587" s="2"/>
    </row>
    <row r="1588" spans="1:16" x14ac:dyDescent="0.25">
      <c r="A1588" s="2"/>
      <c r="B1588" s="2"/>
      <c r="F1588" s="1"/>
      <c r="G1588" s="1"/>
      <c r="I1588" s="1"/>
      <c r="J1588" s="1"/>
      <c r="L1588" s="1"/>
      <c r="M1588" s="1"/>
      <c r="O1588" s="2"/>
      <c r="P1588" s="2"/>
    </row>
    <row r="1589" spans="1:16" x14ac:dyDescent="0.25">
      <c r="A1589" s="2"/>
      <c r="B1589" s="2"/>
      <c r="F1589" s="1"/>
      <c r="G1589" s="1"/>
      <c r="I1589" s="1"/>
      <c r="J1589" s="1"/>
      <c r="L1589" s="1"/>
      <c r="M1589" s="1"/>
      <c r="O1589" s="2"/>
      <c r="P1589" s="2"/>
    </row>
    <row r="1590" spans="1:16" x14ac:dyDescent="0.25">
      <c r="A1590" s="2"/>
      <c r="B1590" s="2"/>
      <c r="F1590" s="1"/>
      <c r="G1590" s="1"/>
      <c r="I1590" s="1"/>
      <c r="J1590" s="1"/>
      <c r="L1590" s="1"/>
      <c r="M1590" s="1"/>
      <c r="O1590" s="2"/>
      <c r="P1590" s="2"/>
    </row>
    <row r="1591" spans="1:16" x14ac:dyDescent="0.25">
      <c r="A1591" s="2"/>
      <c r="B1591" s="2"/>
      <c r="F1591" s="1"/>
      <c r="G1591" s="1"/>
      <c r="I1591" s="1"/>
      <c r="J1591" s="1"/>
      <c r="L1591" s="1"/>
      <c r="M1591" s="1"/>
      <c r="O1591" s="2"/>
      <c r="P1591" s="2"/>
    </row>
    <row r="1592" spans="1:16" x14ac:dyDescent="0.25">
      <c r="A1592" s="2"/>
      <c r="B1592" s="2"/>
      <c r="F1592" s="1"/>
      <c r="G1592" s="1"/>
      <c r="I1592" s="1"/>
      <c r="J1592" s="1"/>
      <c r="L1592" s="1"/>
      <c r="M1592" s="1"/>
      <c r="O1592" s="2"/>
      <c r="P1592" s="2"/>
    </row>
    <row r="1593" spans="1:16" x14ac:dyDescent="0.25">
      <c r="A1593" s="2"/>
      <c r="B1593" s="2"/>
      <c r="F1593" s="1"/>
      <c r="G1593" s="1"/>
      <c r="I1593" s="1"/>
      <c r="J1593" s="1"/>
      <c r="L1593" s="1"/>
      <c r="M1593" s="1"/>
      <c r="O1593" s="2"/>
      <c r="P1593" s="2"/>
    </row>
    <row r="1594" spans="1:16" x14ac:dyDescent="0.25">
      <c r="A1594" s="2"/>
      <c r="B1594" s="2"/>
      <c r="F1594" s="1"/>
      <c r="G1594" s="1"/>
      <c r="I1594" s="1"/>
      <c r="J1594" s="1"/>
      <c r="L1594" s="1"/>
      <c r="M1594" s="1"/>
      <c r="O1594" s="2"/>
      <c r="P1594" s="2"/>
    </row>
    <row r="1595" spans="1:16" x14ac:dyDescent="0.25">
      <c r="A1595" s="2"/>
      <c r="B1595" s="2"/>
      <c r="F1595" s="1"/>
      <c r="G1595" s="1"/>
      <c r="I1595" s="1"/>
      <c r="J1595" s="1"/>
      <c r="L1595" s="1"/>
      <c r="M1595" s="1"/>
      <c r="O1595" s="2"/>
      <c r="P1595" s="2"/>
    </row>
    <row r="1596" spans="1:16" x14ac:dyDescent="0.25">
      <c r="A1596" s="2"/>
      <c r="B1596" s="2"/>
      <c r="F1596" s="1"/>
      <c r="G1596" s="1"/>
      <c r="I1596" s="1"/>
      <c r="J1596" s="1"/>
      <c r="L1596" s="1"/>
      <c r="M1596" s="1"/>
      <c r="O1596" s="2"/>
      <c r="P1596" s="2"/>
    </row>
    <row r="1597" spans="1:16" x14ac:dyDescent="0.25">
      <c r="A1597" s="2"/>
      <c r="B1597" s="2"/>
      <c r="F1597" s="1"/>
      <c r="G1597" s="1"/>
      <c r="I1597" s="1"/>
      <c r="J1597" s="1"/>
      <c r="L1597" s="1"/>
      <c r="M1597" s="1"/>
      <c r="O1597" s="2"/>
      <c r="P1597" s="2"/>
    </row>
    <row r="1598" spans="1:16" x14ac:dyDescent="0.25">
      <c r="A1598" s="2"/>
      <c r="B1598" s="2"/>
      <c r="F1598" s="1"/>
      <c r="G1598" s="1"/>
      <c r="I1598" s="1"/>
      <c r="J1598" s="1"/>
      <c r="L1598" s="1"/>
      <c r="M1598" s="1"/>
      <c r="O1598" s="2"/>
      <c r="P1598" s="2"/>
    </row>
    <row r="1599" spans="1:16" x14ac:dyDescent="0.25">
      <c r="A1599" s="2"/>
      <c r="B1599" s="2"/>
      <c r="F1599" s="1"/>
      <c r="G1599" s="1"/>
      <c r="I1599" s="1"/>
      <c r="J1599" s="1"/>
      <c r="L1599" s="1"/>
      <c r="M1599" s="1"/>
      <c r="O1599" s="2"/>
      <c r="P1599" s="2"/>
    </row>
    <row r="1600" spans="1:16" x14ac:dyDescent="0.25">
      <c r="A1600" s="2"/>
      <c r="B1600" s="2"/>
      <c r="F1600" s="1"/>
      <c r="G1600" s="1"/>
      <c r="I1600" s="1"/>
      <c r="J1600" s="1"/>
      <c r="L1600" s="1"/>
      <c r="M1600" s="1"/>
      <c r="O1600" s="2"/>
      <c r="P1600" s="2"/>
    </row>
    <row r="1601" spans="1:16" x14ac:dyDescent="0.25">
      <c r="A1601" s="2"/>
      <c r="B1601" s="2"/>
      <c r="F1601" s="1"/>
      <c r="G1601" s="1"/>
      <c r="I1601" s="1"/>
      <c r="J1601" s="1"/>
      <c r="L1601" s="1"/>
      <c r="M1601" s="1"/>
      <c r="O1601" s="2"/>
      <c r="P1601" s="2"/>
    </row>
    <row r="1602" spans="1:16" x14ac:dyDescent="0.25">
      <c r="A1602" s="2"/>
      <c r="B1602" s="2"/>
      <c r="F1602" s="1"/>
      <c r="G1602" s="1"/>
      <c r="I1602" s="1"/>
      <c r="J1602" s="1"/>
      <c r="L1602" s="1"/>
      <c r="M1602" s="1"/>
      <c r="O1602" s="2"/>
      <c r="P1602" s="2"/>
    </row>
    <row r="1603" spans="1:16" x14ac:dyDescent="0.25">
      <c r="A1603" s="2"/>
      <c r="B1603" s="2"/>
      <c r="F1603" s="1"/>
      <c r="G1603" s="1"/>
      <c r="I1603" s="1"/>
      <c r="J1603" s="1"/>
      <c r="L1603" s="1"/>
      <c r="M1603" s="1"/>
      <c r="O1603" s="2"/>
      <c r="P1603" s="2"/>
    </row>
    <row r="1604" spans="1:16" x14ac:dyDescent="0.25">
      <c r="A1604" s="2"/>
      <c r="B1604" s="2"/>
      <c r="F1604" s="1"/>
      <c r="G1604" s="1"/>
      <c r="I1604" s="1"/>
      <c r="J1604" s="1"/>
      <c r="L1604" s="1"/>
      <c r="M1604" s="1"/>
      <c r="O1604" s="2"/>
      <c r="P1604" s="2"/>
    </row>
    <row r="1605" spans="1:16" x14ac:dyDescent="0.25">
      <c r="A1605" s="2"/>
      <c r="B1605" s="2"/>
      <c r="F1605" s="1"/>
      <c r="G1605" s="1"/>
      <c r="I1605" s="1"/>
      <c r="J1605" s="1"/>
      <c r="L1605" s="1"/>
      <c r="M1605" s="1"/>
      <c r="O1605" s="2"/>
      <c r="P1605" s="2"/>
    </row>
    <row r="1606" spans="1:16" x14ac:dyDescent="0.25">
      <c r="A1606" s="2"/>
      <c r="B1606" s="2"/>
      <c r="F1606" s="1"/>
      <c r="G1606" s="1"/>
      <c r="I1606" s="1"/>
      <c r="J1606" s="1"/>
      <c r="L1606" s="1"/>
      <c r="M1606" s="1"/>
      <c r="O1606" s="2"/>
      <c r="P1606" s="2"/>
    </row>
    <row r="1607" spans="1:16" x14ac:dyDescent="0.25">
      <c r="A1607" s="2"/>
      <c r="B1607" s="2"/>
      <c r="F1607" s="1"/>
      <c r="G1607" s="1"/>
      <c r="I1607" s="1"/>
      <c r="J1607" s="1"/>
      <c r="L1607" s="1"/>
      <c r="M1607" s="1"/>
      <c r="O1607" s="2"/>
      <c r="P1607" s="2"/>
    </row>
    <row r="1608" spans="1:16" x14ac:dyDescent="0.25">
      <c r="A1608" s="2"/>
      <c r="B1608" s="2"/>
      <c r="F1608" s="1"/>
      <c r="G1608" s="1"/>
      <c r="I1608" s="1"/>
      <c r="J1608" s="1"/>
      <c r="L1608" s="1"/>
      <c r="M1608" s="1"/>
      <c r="O1608" s="2"/>
      <c r="P1608" s="2"/>
    </row>
    <row r="1609" spans="1:16" x14ac:dyDescent="0.25">
      <c r="A1609" s="2"/>
      <c r="B1609" s="2"/>
      <c r="F1609" s="1"/>
      <c r="G1609" s="1"/>
      <c r="I1609" s="1"/>
      <c r="J1609" s="1"/>
      <c r="L1609" s="1"/>
      <c r="M1609" s="1"/>
      <c r="O1609" s="2"/>
      <c r="P1609" s="2"/>
    </row>
    <row r="1610" spans="1:16" x14ac:dyDescent="0.25">
      <c r="A1610" s="2"/>
      <c r="B1610" s="2"/>
      <c r="F1610" s="1"/>
      <c r="G1610" s="1"/>
      <c r="I1610" s="1"/>
      <c r="J1610" s="1"/>
      <c r="L1610" s="1"/>
      <c r="M1610" s="1"/>
      <c r="O1610" s="2"/>
      <c r="P1610" s="2"/>
    </row>
    <row r="1611" spans="1:16" x14ac:dyDescent="0.25">
      <c r="A1611" s="2"/>
      <c r="B1611" s="2"/>
      <c r="F1611" s="1"/>
      <c r="G1611" s="1"/>
      <c r="I1611" s="1"/>
      <c r="J1611" s="1"/>
      <c r="L1611" s="1"/>
      <c r="M1611" s="1"/>
      <c r="O1611" s="2"/>
      <c r="P1611" s="2"/>
    </row>
    <row r="1612" spans="1:16" x14ac:dyDescent="0.25">
      <c r="A1612" s="2"/>
      <c r="B1612" s="2"/>
      <c r="F1612" s="1"/>
      <c r="G1612" s="1"/>
      <c r="I1612" s="1"/>
      <c r="J1612" s="1"/>
      <c r="L1612" s="1"/>
      <c r="M1612" s="1"/>
      <c r="O1612" s="2"/>
      <c r="P1612" s="2"/>
    </row>
    <row r="1613" spans="1:16" x14ac:dyDescent="0.25">
      <c r="A1613" s="2"/>
      <c r="B1613" s="2"/>
      <c r="F1613" s="1"/>
      <c r="G1613" s="1"/>
      <c r="I1613" s="1"/>
      <c r="J1613" s="1"/>
      <c r="L1613" s="1"/>
      <c r="M1613" s="1"/>
      <c r="O1613" s="2"/>
      <c r="P1613" s="2"/>
    </row>
    <row r="1614" spans="1:16" x14ac:dyDescent="0.25">
      <c r="A1614" s="2"/>
      <c r="B1614" s="2"/>
      <c r="F1614" s="1"/>
      <c r="G1614" s="1"/>
      <c r="I1614" s="1"/>
      <c r="J1614" s="1"/>
      <c r="L1614" s="1"/>
      <c r="M1614" s="1"/>
      <c r="O1614" s="2"/>
      <c r="P1614" s="2"/>
    </row>
    <row r="1615" spans="1:16" x14ac:dyDescent="0.25">
      <c r="A1615" s="2"/>
      <c r="B1615" s="2"/>
      <c r="F1615" s="1"/>
      <c r="G1615" s="1"/>
      <c r="I1615" s="1"/>
      <c r="J1615" s="1"/>
      <c r="L1615" s="1"/>
      <c r="M1615" s="1"/>
      <c r="O1615" s="2"/>
      <c r="P1615" s="2"/>
    </row>
    <row r="1616" spans="1:16" x14ac:dyDescent="0.25">
      <c r="A1616" s="2"/>
      <c r="B1616" s="2"/>
      <c r="F1616" s="1"/>
      <c r="G1616" s="1"/>
      <c r="I1616" s="1"/>
      <c r="J1616" s="1"/>
      <c r="L1616" s="1"/>
      <c r="M1616" s="1"/>
      <c r="O1616" s="2"/>
      <c r="P1616" s="2"/>
    </row>
    <row r="1617" spans="1:16" x14ac:dyDescent="0.25">
      <c r="A1617" s="2"/>
      <c r="B1617" s="2"/>
      <c r="F1617" s="1"/>
      <c r="G1617" s="1"/>
      <c r="I1617" s="1"/>
      <c r="J1617" s="1"/>
      <c r="L1617" s="1"/>
      <c r="M1617" s="1"/>
      <c r="O1617" s="2"/>
      <c r="P1617" s="2"/>
    </row>
    <row r="1618" spans="1:16" x14ac:dyDescent="0.25">
      <c r="A1618" s="2"/>
      <c r="B1618" s="2"/>
      <c r="F1618" s="1"/>
      <c r="G1618" s="1"/>
      <c r="I1618" s="1"/>
      <c r="J1618" s="1"/>
      <c r="L1618" s="1"/>
      <c r="M1618" s="1"/>
      <c r="O1618" s="2"/>
      <c r="P1618" s="2"/>
    </row>
    <row r="1619" spans="1:16" x14ac:dyDescent="0.25">
      <c r="A1619" s="2"/>
      <c r="B1619" s="2"/>
      <c r="F1619" s="1"/>
      <c r="G1619" s="1"/>
      <c r="I1619" s="1"/>
      <c r="J1619" s="1"/>
      <c r="L1619" s="1"/>
      <c r="M1619" s="1"/>
      <c r="O1619" s="2"/>
      <c r="P1619" s="2"/>
    </row>
    <row r="1620" spans="1:16" x14ac:dyDescent="0.25">
      <c r="A1620" s="2"/>
      <c r="B1620" s="2"/>
      <c r="F1620" s="1"/>
      <c r="G1620" s="1"/>
      <c r="I1620" s="1"/>
      <c r="J1620" s="1"/>
      <c r="L1620" s="1"/>
      <c r="M1620" s="1"/>
      <c r="O1620" s="2"/>
      <c r="P1620" s="2"/>
    </row>
    <row r="1621" spans="1:16" x14ac:dyDescent="0.25">
      <c r="A1621" s="2"/>
      <c r="B1621" s="2"/>
      <c r="F1621" s="1"/>
      <c r="G1621" s="1"/>
      <c r="I1621" s="1"/>
      <c r="J1621" s="1"/>
      <c r="L1621" s="1"/>
      <c r="M1621" s="1"/>
      <c r="O1621" s="2"/>
      <c r="P1621" s="2"/>
    </row>
    <row r="1622" spans="1:16" x14ac:dyDescent="0.25">
      <c r="A1622" s="2"/>
      <c r="B1622" s="2"/>
      <c r="F1622" s="1"/>
      <c r="G1622" s="1"/>
      <c r="I1622" s="1"/>
      <c r="J1622" s="1"/>
      <c r="L1622" s="1"/>
      <c r="M1622" s="1"/>
      <c r="O1622" s="2"/>
      <c r="P1622" s="2"/>
    </row>
    <row r="1623" spans="1:16" x14ac:dyDescent="0.25">
      <c r="A1623" s="2"/>
      <c r="B1623" s="2"/>
      <c r="F1623" s="1"/>
      <c r="G1623" s="1"/>
      <c r="I1623" s="1"/>
      <c r="J1623" s="1"/>
      <c r="L1623" s="1"/>
      <c r="M1623" s="1"/>
      <c r="O1623" s="2"/>
      <c r="P1623" s="2"/>
    </row>
    <row r="1624" spans="1:16" x14ac:dyDescent="0.25">
      <c r="A1624" s="2"/>
      <c r="B1624" s="2"/>
      <c r="F1624" s="1"/>
      <c r="G1624" s="1"/>
      <c r="I1624" s="1"/>
      <c r="J1624" s="1"/>
      <c r="L1624" s="1"/>
      <c r="M1624" s="1"/>
      <c r="O1624" s="2"/>
      <c r="P1624" s="2"/>
    </row>
    <row r="1625" spans="1:16" x14ac:dyDescent="0.25">
      <c r="A1625" s="2"/>
      <c r="B1625" s="2"/>
      <c r="F1625" s="1"/>
      <c r="G1625" s="1"/>
      <c r="I1625" s="1"/>
      <c r="J1625" s="1"/>
      <c r="L1625" s="1"/>
      <c r="M1625" s="1"/>
      <c r="O1625" s="2"/>
      <c r="P1625" s="2"/>
    </row>
    <row r="1626" spans="1:16" x14ac:dyDescent="0.25">
      <c r="A1626" s="2"/>
      <c r="B1626" s="2"/>
      <c r="F1626" s="1"/>
      <c r="G1626" s="1"/>
      <c r="I1626" s="1"/>
      <c r="J1626" s="1"/>
      <c r="L1626" s="1"/>
      <c r="M1626" s="1"/>
      <c r="O1626" s="2"/>
      <c r="P1626" s="2"/>
    </row>
    <row r="1627" spans="1:16" x14ac:dyDescent="0.25">
      <c r="A1627" s="2"/>
      <c r="B1627" s="2"/>
      <c r="F1627" s="1"/>
      <c r="G1627" s="1"/>
      <c r="I1627" s="1"/>
      <c r="J1627" s="1"/>
      <c r="L1627" s="1"/>
      <c r="M1627" s="1"/>
      <c r="O1627" s="2"/>
      <c r="P1627" s="2"/>
    </row>
    <row r="1628" spans="1:16" x14ac:dyDescent="0.25">
      <c r="A1628" s="2"/>
      <c r="B1628" s="2"/>
      <c r="F1628" s="1"/>
      <c r="G1628" s="1"/>
      <c r="I1628" s="1"/>
      <c r="J1628" s="1"/>
      <c r="L1628" s="1"/>
      <c r="M1628" s="1"/>
      <c r="O1628" s="2"/>
      <c r="P1628" s="2"/>
    </row>
    <row r="1629" spans="1:16" x14ac:dyDescent="0.25">
      <c r="A1629" s="2"/>
      <c r="B1629" s="2"/>
      <c r="F1629" s="1"/>
      <c r="G1629" s="1"/>
      <c r="I1629" s="1"/>
      <c r="J1629" s="1"/>
      <c r="L1629" s="1"/>
      <c r="M1629" s="1"/>
      <c r="O1629" s="2"/>
      <c r="P1629" s="2"/>
    </row>
    <row r="1630" spans="1:16" x14ac:dyDescent="0.25">
      <c r="A1630" s="2"/>
      <c r="B1630" s="2"/>
      <c r="F1630" s="1"/>
      <c r="G1630" s="1"/>
      <c r="I1630" s="1"/>
      <c r="J1630" s="1"/>
      <c r="L1630" s="1"/>
      <c r="M1630" s="1"/>
      <c r="O1630" s="2"/>
      <c r="P1630" s="2"/>
    </row>
    <row r="1631" spans="1:16" x14ac:dyDescent="0.25">
      <c r="A1631" s="2"/>
      <c r="B1631" s="2"/>
      <c r="F1631" s="1"/>
      <c r="G1631" s="1"/>
      <c r="I1631" s="1"/>
      <c r="J1631" s="1"/>
      <c r="L1631" s="1"/>
      <c r="M1631" s="1"/>
      <c r="O1631" s="2"/>
      <c r="P1631" s="2"/>
    </row>
    <row r="1632" spans="1:16" x14ac:dyDescent="0.25">
      <c r="A1632" s="2"/>
      <c r="B1632" s="2"/>
      <c r="F1632" s="1"/>
      <c r="G1632" s="1"/>
      <c r="I1632" s="1"/>
      <c r="J1632" s="1"/>
      <c r="L1632" s="1"/>
      <c r="M1632" s="1"/>
      <c r="O1632" s="2"/>
      <c r="P1632" s="2"/>
    </row>
    <row r="1633" spans="1:16" x14ac:dyDescent="0.25">
      <c r="A1633" s="2"/>
      <c r="B1633" s="2"/>
      <c r="F1633" s="1"/>
      <c r="G1633" s="1"/>
      <c r="I1633" s="1"/>
      <c r="J1633" s="1"/>
      <c r="L1633" s="1"/>
      <c r="M1633" s="1"/>
      <c r="O1633" s="2"/>
      <c r="P1633" s="2"/>
    </row>
    <row r="1634" spans="1:16" x14ac:dyDescent="0.25">
      <c r="A1634" s="2"/>
      <c r="B1634" s="2"/>
      <c r="F1634" s="1"/>
      <c r="G1634" s="1"/>
      <c r="I1634" s="1"/>
      <c r="J1634" s="1"/>
      <c r="L1634" s="1"/>
      <c r="M1634" s="1"/>
      <c r="O1634" s="2"/>
      <c r="P1634" s="2"/>
    </row>
    <row r="1635" spans="1:16" x14ac:dyDescent="0.25">
      <c r="A1635" s="2"/>
      <c r="B1635" s="2"/>
      <c r="F1635" s="1"/>
      <c r="G1635" s="1"/>
      <c r="I1635" s="1"/>
      <c r="J1635" s="1"/>
      <c r="L1635" s="1"/>
      <c r="M1635" s="1"/>
      <c r="O1635" s="2"/>
      <c r="P1635" s="2"/>
    </row>
    <row r="1636" spans="1:16" x14ac:dyDescent="0.25">
      <c r="A1636" s="2"/>
      <c r="B1636" s="2"/>
      <c r="F1636" s="1"/>
      <c r="G1636" s="1"/>
      <c r="I1636" s="1"/>
      <c r="J1636" s="1"/>
      <c r="L1636" s="1"/>
      <c r="M1636" s="1"/>
      <c r="O1636" s="2"/>
      <c r="P1636" s="2"/>
    </row>
    <row r="1637" spans="1:16" x14ac:dyDescent="0.25">
      <c r="A1637" s="2"/>
      <c r="B1637" s="2"/>
      <c r="F1637" s="1"/>
      <c r="G1637" s="1"/>
      <c r="I1637" s="1"/>
      <c r="J1637" s="1"/>
      <c r="L1637" s="1"/>
      <c r="M1637" s="1"/>
      <c r="O1637" s="2"/>
      <c r="P1637" s="2"/>
    </row>
    <row r="1638" spans="1:16" x14ac:dyDescent="0.25">
      <c r="A1638" s="2"/>
      <c r="B1638" s="2"/>
      <c r="F1638" s="1"/>
      <c r="G1638" s="1"/>
      <c r="I1638" s="1"/>
      <c r="J1638" s="1"/>
      <c r="L1638" s="1"/>
      <c r="M1638" s="1"/>
      <c r="O1638" s="2"/>
      <c r="P1638" s="2"/>
    </row>
    <row r="1639" spans="1:16" x14ac:dyDescent="0.25">
      <c r="A1639" s="2"/>
      <c r="B1639" s="2"/>
      <c r="F1639" s="1"/>
      <c r="G1639" s="1"/>
      <c r="I1639" s="1"/>
      <c r="J1639" s="1"/>
      <c r="L1639" s="1"/>
      <c r="M1639" s="1"/>
      <c r="O1639" s="2"/>
      <c r="P1639" s="2"/>
    </row>
    <row r="1640" spans="1:16" x14ac:dyDescent="0.25">
      <c r="A1640" s="2"/>
      <c r="B1640" s="2"/>
      <c r="F1640" s="1"/>
      <c r="G1640" s="1"/>
      <c r="I1640" s="1"/>
      <c r="J1640" s="1"/>
      <c r="L1640" s="1"/>
      <c r="M1640" s="1"/>
      <c r="O1640" s="2"/>
      <c r="P1640" s="2"/>
    </row>
    <row r="1641" spans="1:16" x14ac:dyDescent="0.25">
      <c r="A1641" s="2"/>
      <c r="B1641" s="2"/>
      <c r="F1641" s="1"/>
      <c r="G1641" s="1"/>
      <c r="I1641" s="1"/>
      <c r="J1641" s="1"/>
      <c r="L1641" s="1"/>
      <c r="M1641" s="1"/>
      <c r="O1641" s="2"/>
      <c r="P1641" s="2"/>
    </row>
    <row r="1642" spans="1:16" x14ac:dyDescent="0.25">
      <c r="A1642" s="2"/>
      <c r="B1642" s="2"/>
      <c r="F1642" s="1"/>
      <c r="G1642" s="1"/>
      <c r="I1642" s="1"/>
      <c r="J1642" s="1"/>
      <c r="L1642" s="1"/>
      <c r="M1642" s="1"/>
      <c r="O1642" s="2"/>
      <c r="P1642" s="2"/>
    </row>
    <row r="1643" spans="1:16" x14ac:dyDescent="0.25">
      <c r="A1643" s="2"/>
      <c r="B1643" s="2"/>
      <c r="F1643" s="1"/>
      <c r="G1643" s="1"/>
      <c r="I1643" s="1"/>
      <c r="J1643" s="1"/>
      <c r="L1643" s="1"/>
      <c r="M1643" s="1"/>
      <c r="O1643" s="2"/>
      <c r="P1643" s="2"/>
    </row>
    <row r="1644" spans="1:16" x14ac:dyDescent="0.25">
      <c r="A1644" s="2"/>
      <c r="B1644" s="2"/>
      <c r="F1644" s="1"/>
      <c r="G1644" s="1"/>
      <c r="I1644" s="1"/>
      <c r="J1644" s="1"/>
      <c r="L1644" s="1"/>
      <c r="M1644" s="1"/>
      <c r="O1644" s="2"/>
      <c r="P1644" s="2"/>
    </row>
    <row r="1645" spans="1:16" x14ac:dyDescent="0.25">
      <c r="A1645" s="2"/>
      <c r="B1645" s="2"/>
      <c r="F1645" s="1"/>
      <c r="G1645" s="1"/>
      <c r="I1645" s="1"/>
      <c r="J1645" s="1"/>
      <c r="L1645" s="1"/>
      <c r="M1645" s="1"/>
      <c r="O1645" s="2"/>
      <c r="P1645" s="2"/>
    </row>
    <row r="1646" spans="1:16" x14ac:dyDescent="0.25">
      <c r="A1646" s="2"/>
      <c r="B1646" s="2"/>
      <c r="F1646" s="1"/>
      <c r="G1646" s="1"/>
      <c r="I1646" s="1"/>
      <c r="J1646" s="1"/>
      <c r="L1646" s="1"/>
      <c r="M1646" s="1"/>
      <c r="O1646" s="2"/>
      <c r="P1646" s="2"/>
    </row>
    <row r="1647" spans="1:16" x14ac:dyDescent="0.25">
      <c r="A1647" s="2"/>
      <c r="B1647" s="2"/>
      <c r="F1647" s="1"/>
      <c r="G1647" s="1"/>
      <c r="I1647" s="1"/>
      <c r="J1647" s="1"/>
      <c r="L1647" s="1"/>
      <c r="M1647" s="1"/>
      <c r="O1647" s="2"/>
      <c r="P1647" s="2"/>
    </row>
    <row r="1648" spans="1:16" x14ac:dyDescent="0.25">
      <c r="A1648" s="2"/>
      <c r="B1648" s="2"/>
      <c r="F1648" s="1"/>
      <c r="G1648" s="1"/>
      <c r="I1648" s="1"/>
      <c r="J1648" s="1"/>
      <c r="L1648" s="1"/>
      <c r="M1648" s="1"/>
      <c r="O1648" s="2"/>
      <c r="P1648" s="2"/>
    </row>
    <row r="1649" spans="1:16" x14ac:dyDescent="0.25">
      <c r="A1649" s="2"/>
      <c r="B1649" s="2"/>
      <c r="F1649" s="1"/>
      <c r="G1649" s="1"/>
      <c r="I1649" s="1"/>
      <c r="J1649" s="1"/>
      <c r="L1649" s="1"/>
      <c r="M1649" s="1"/>
      <c r="O1649" s="2"/>
      <c r="P1649" s="2"/>
    </row>
    <row r="1650" spans="1:16" x14ac:dyDescent="0.25">
      <c r="A1650" s="2"/>
      <c r="B1650" s="2"/>
      <c r="F1650" s="1"/>
      <c r="G1650" s="1"/>
      <c r="I1650" s="1"/>
      <c r="J1650" s="1"/>
      <c r="L1650" s="1"/>
      <c r="M1650" s="1"/>
      <c r="O1650" s="2"/>
      <c r="P1650" s="2"/>
    </row>
    <row r="1651" spans="1:16" x14ac:dyDescent="0.25">
      <c r="A1651" s="2"/>
      <c r="B1651" s="2"/>
      <c r="F1651" s="1"/>
      <c r="G1651" s="1"/>
      <c r="I1651" s="1"/>
      <c r="J1651" s="1"/>
      <c r="L1651" s="1"/>
      <c r="M1651" s="1"/>
      <c r="O1651" s="2"/>
      <c r="P1651" s="2"/>
    </row>
    <row r="1652" spans="1:16" x14ac:dyDescent="0.25">
      <c r="A1652" s="2"/>
      <c r="B1652" s="2"/>
      <c r="F1652" s="1"/>
      <c r="G1652" s="1"/>
      <c r="I1652" s="1"/>
      <c r="J1652" s="1"/>
      <c r="L1652" s="1"/>
      <c r="M1652" s="1"/>
      <c r="O1652" s="2"/>
      <c r="P1652" s="2"/>
    </row>
    <row r="1653" spans="1:16" x14ac:dyDescent="0.25">
      <c r="A1653" s="2"/>
      <c r="B1653" s="2"/>
      <c r="F1653" s="1"/>
      <c r="G1653" s="1"/>
      <c r="I1653" s="1"/>
      <c r="J1653" s="1"/>
      <c r="L1653" s="1"/>
      <c r="M1653" s="1"/>
      <c r="O1653" s="2"/>
      <c r="P1653" s="2"/>
    </row>
    <row r="1654" spans="1:16" x14ac:dyDescent="0.25">
      <c r="A1654" s="2"/>
      <c r="B1654" s="2"/>
      <c r="F1654" s="1"/>
      <c r="G1654" s="1"/>
      <c r="I1654" s="1"/>
      <c r="J1654" s="1"/>
      <c r="L1654" s="1"/>
      <c r="M1654" s="1"/>
      <c r="O1654" s="2"/>
      <c r="P1654" s="2"/>
    </row>
    <row r="1655" spans="1:16" x14ac:dyDescent="0.25">
      <c r="A1655" s="2"/>
      <c r="B1655" s="2"/>
      <c r="F1655" s="1"/>
      <c r="G1655" s="1"/>
      <c r="I1655" s="1"/>
      <c r="J1655" s="1"/>
      <c r="L1655" s="1"/>
      <c r="M1655" s="1"/>
      <c r="O1655" s="2"/>
      <c r="P1655" s="2"/>
    </row>
    <row r="1656" spans="1:16" x14ac:dyDescent="0.25">
      <c r="A1656" s="2"/>
      <c r="B1656" s="2"/>
      <c r="F1656" s="1"/>
      <c r="G1656" s="1"/>
      <c r="I1656" s="1"/>
      <c r="J1656" s="1"/>
      <c r="L1656" s="1"/>
      <c r="M1656" s="1"/>
      <c r="O1656" s="2"/>
      <c r="P1656" s="2"/>
    </row>
    <row r="1657" spans="1:16" x14ac:dyDescent="0.25">
      <c r="A1657" s="2"/>
      <c r="B1657" s="2"/>
      <c r="F1657" s="1"/>
      <c r="G1657" s="1"/>
      <c r="I1657" s="1"/>
      <c r="J1657" s="1"/>
      <c r="L1657" s="1"/>
      <c r="M1657" s="1"/>
      <c r="O1657" s="2"/>
      <c r="P1657" s="2"/>
    </row>
    <row r="1658" spans="1:16" x14ac:dyDescent="0.25">
      <c r="A1658" s="2"/>
      <c r="B1658" s="2"/>
      <c r="F1658" s="1"/>
      <c r="G1658" s="1"/>
      <c r="I1658" s="1"/>
      <c r="J1658" s="1"/>
      <c r="L1658" s="1"/>
      <c r="M1658" s="1"/>
      <c r="O1658" s="2"/>
      <c r="P1658" s="2"/>
    </row>
    <row r="1659" spans="1:16" x14ac:dyDescent="0.25">
      <c r="A1659" s="2"/>
      <c r="B1659" s="2"/>
      <c r="F1659" s="1"/>
      <c r="G1659" s="1"/>
      <c r="I1659" s="1"/>
      <c r="J1659" s="1"/>
      <c r="L1659" s="1"/>
      <c r="M1659" s="1"/>
      <c r="O1659" s="2"/>
      <c r="P1659" s="2"/>
    </row>
    <row r="1660" spans="1:16" x14ac:dyDescent="0.25">
      <c r="A1660" s="2"/>
      <c r="B1660" s="2"/>
      <c r="F1660" s="1"/>
      <c r="G1660" s="1"/>
      <c r="I1660" s="1"/>
      <c r="J1660" s="1"/>
      <c r="L1660" s="1"/>
      <c r="M1660" s="1"/>
      <c r="O1660" s="2"/>
      <c r="P1660" s="2"/>
    </row>
    <row r="1661" spans="1:16" x14ac:dyDescent="0.25">
      <c r="A1661" s="2"/>
      <c r="B1661" s="2"/>
      <c r="F1661" s="1"/>
      <c r="G1661" s="1"/>
      <c r="I1661" s="1"/>
      <c r="J1661" s="1"/>
      <c r="L1661" s="1"/>
      <c r="M1661" s="1"/>
      <c r="O1661" s="2"/>
      <c r="P1661" s="2"/>
    </row>
    <row r="1662" spans="1:16" x14ac:dyDescent="0.25">
      <c r="A1662" s="2"/>
      <c r="B1662" s="2"/>
      <c r="F1662" s="1"/>
      <c r="G1662" s="1"/>
      <c r="I1662" s="1"/>
      <c r="J1662" s="1"/>
      <c r="L1662" s="1"/>
      <c r="M1662" s="1"/>
      <c r="O1662" s="2"/>
      <c r="P1662" s="2"/>
    </row>
    <row r="1663" spans="1:16" x14ac:dyDescent="0.25">
      <c r="A1663" s="2"/>
      <c r="B1663" s="2"/>
      <c r="F1663" s="1"/>
      <c r="G1663" s="1"/>
      <c r="I1663" s="1"/>
      <c r="J1663" s="1"/>
      <c r="L1663" s="1"/>
      <c r="M1663" s="1"/>
      <c r="O1663" s="2"/>
      <c r="P1663" s="2"/>
    </row>
    <row r="1664" spans="1:16" x14ac:dyDescent="0.25">
      <c r="A1664" s="2"/>
      <c r="B1664" s="2"/>
      <c r="F1664" s="1"/>
      <c r="G1664" s="1"/>
      <c r="I1664" s="1"/>
      <c r="J1664" s="1"/>
      <c r="L1664" s="1"/>
      <c r="M1664" s="1"/>
      <c r="O1664" s="2"/>
      <c r="P1664" s="2"/>
    </row>
    <row r="1665" spans="1:16" x14ac:dyDescent="0.25">
      <c r="A1665" s="2"/>
      <c r="B1665" s="2"/>
      <c r="F1665" s="1"/>
      <c r="G1665" s="1"/>
      <c r="I1665" s="1"/>
      <c r="J1665" s="1"/>
      <c r="L1665" s="1"/>
      <c r="M1665" s="1"/>
      <c r="O1665" s="2"/>
      <c r="P1665" s="2"/>
    </row>
    <row r="1666" spans="1:16" x14ac:dyDescent="0.25">
      <c r="A1666" s="2"/>
      <c r="B1666" s="2"/>
      <c r="F1666" s="1"/>
      <c r="G1666" s="1"/>
      <c r="I1666" s="1"/>
      <c r="J1666" s="1"/>
      <c r="L1666" s="1"/>
      <c r="M1666" s="1"/>
      <c r="O1666" s="2"/>
      <c r="P1666" s="2"/>
    </row>
    <row r="1667" spans="1:16" x14ac:dyDescent="0.25">
      <c r="A1667" s="2"/>
      <c r="B1667" s="2"/>
      <c r="F1667" s="1"/>
      <c r="G1667" s="1"/>
      <c r="I1667" s="1"/>
      <c r="J1667" s="1"/>
      <c r="L1667" s="1"/>
      <c r="M1667" s="1"/>
      <c r="O1667" s="2"/>
      <c r="P1667" s="2"/>
    </row>
    <row r="1668" spans="1:16" x14ac:dyDescent="0.25">
      <c r="A1668" s="2"/>
      <c r="B1668" s="2"/>
      <c r="F1668" s="1"/>
      <c r="G1668" s="1"/>
      <c r="I1668" s="1"/>
      <c r="J1668" s="1"/>
      <c r="L1668" s="1"/>
      <c r="M1668" s="1"/>
      <c r="O1668" s="2"/>
      <c r="P1668" s="2"/>
    </row>
    <row r="1669" spans="1:16" x14ac:dyDescent="0.25">
      <c r="A1669" s="2"/>
      <c r="B1669" s="2"/>
      <c r="F1669" s="1"/>
      <c r="G1669" s="1"/>
      <c r="I1669" s="1"/>
      <c r="J1669" s="1"/>
      <c r="L1669" s="1"/>
      <c r="M1669" s="1"/>
      <c r="O1669" s="2"/>
      <c r="P1669" s="2"/>
    </row>
    <row r="1670" spans="1:16" x14ac:dyDescent="0.25">
      <c r="A1670" s="2"/>
      <c r="B1670" s="2"/>
      <c r="F1670" s="1"/>
      <c r="G1670" s="1"/>
      <c r="I1670" s="1"/>
      <c r="J1670" s="1"/>
      <c r="L1670" s="1"/>
      <c r="M1670" s="1"/>
      <c r="O1670" s="2"/>
      <c r="P1670" s="2"/>
    </row>
    <row r="1671" spans="1:16" x14ac:dyDescent="0.25">
      <c r="A1671" s="2"/>
      <c r="B1671" s="2"/>
      <c r="F1671" s="1"/>
      <c r="G1671" s="1"/>
      <c r="I1671" s="1"/>
      <c r="J1671" s="1"/>
      <c r="L1671" s="1"/>
      <c r="M1671" s="1"/>
      <c r="O1671" s="2"/>
      <c r="P1671" s="2"/>
    </row>
    <row r="1672" spans="1:16" x14ac:dyDescent="0.25">
      <c r="A1672" s="2"/>
      <c r="B1672" s="2"/>
      <c r="F1672" s="1"/>
      <c r="G1672" s="1"/>
      <c r="I1672" s="1"/>
      <c r="J1672" s="1"/>
      <c r="L1672" s="1"/>
      <c r="M1672" s="1"/>
      <c r="O1672" s="2"/>
      <c r="P1672" s="2"/>
    </row>
    <row r="1673" spans="1:16" x14ac:dyDescent="0.25">
      <c r="A1673" s="2"/>
      <c r="B1673" s="2"/>
      <c r="F1673" s="1"/>
      <c r="G1673" s="1"/>
      <c r="I1673" s="1"/>
      <c r="J1673" s="1"/>
      <c r="L1673" s="1"/>
      <c r="M1673" s="1"/>
      <c r="O1673" s="2"/>
      <c r="P1673" s="2"/>
    </row>
    <row r="1674" spans="1:16" x14ac:dyDescent="0.25">
      <c r="A1674" s="2"/>
      <c r="B1674" s="2"/>
      <c r="F1674" s="1"/>
      <c r="G1674" s="1"/>
      <c r="I1674" s="1"/>
      <c r="J1674" s="1"/>
      <c r="L1674" s="1"/>
      <c r="M1674" s="1"/>
      <c r="O1674" s="2"/>
      <c r="P1674" s="2"/>
    </row>
    <row r="1675" spans="1:16" x14ac:dyDescent="0.25">
      <c r="A1675" s="2"/>
      <c r="B1675" s="2"/>
      <c r="F1675" s="1"/>
      <c r="G1675" s="1"/>
      <c r="I1675" s="1"/>
      <c r="J1675" s="1"/>
      <c r="L1675" s="1"/>
      <c r="M1675" s="1"/>
      <c r="O1675" s="2"/>
      <c r="P1675" s="2"/>
    </row>
    <row r="1676" spans="1:16" x14ac:dyDescent="0.25">
      <c r="A1676" s="2"/>
      <c r="B1676" s="2"/>
      <c r="F1676" s="1"/>
      <c r="G1676" s="1"/>
      <c r="I1676" s="1"/>
      <c r="J1676" s="1"/>
      <c r="L1676" s="1"/>
      <c r="M1676" s="1"/>
      <c r="O1676" s="2"/>
      <c r="P1676" s="2"/>
    </row>
    <row r="1677" spans="1:16" x14ac:dyDescent="0.25">
      <c r="A1677" s="2"/>
      <c r="B1677" s="2"/>
      <c r="F1677" s="1"/>
      <c r="G1677" s="1"/>
      <c r="I1677" s="1"/>
      <c r="J1677" s="1"/>
      <c r="L1677" s="1"/>
      <c r="M1677" s="1"/>
      <c r="O1677" s="2"/>
      <c r="P1677" s="2"/>
    </row>
    <row r="1678" spans="1:16" x14ac:dyDescent="0.25">
      <c r="A1678" s="2"/>
      <c r="B1678" s="2"/>
      <c r="F1678" s="1"/>
      <c r="G1678" s="1"/>
      <c r="I1678" s="1"/>
      <c r="J1678" s="1"/>
      <c r="L1678" s="1"/>
      <c r="M1678" s="1"/>
      <c r="O1678" s="2"/>
      <c r="P1678" s="2"/>
    </row>
    <row r="1679" spans="1:16" x14ac:dyDescent="0.25">
      <c r="A1679" s="2"/>
      <c r="B1679" s="2"/>
      <c r="F1679" s="1"/>
      <c r="G1679" s="1"/>
      <c r="I1679" s="1"/>
      <c r="J1679" s="1"/>
      <c r="L1679" s="1"/>
      <c r="M1679" s="1"/>
      <c r="O1679" s="2"/>
      <c r="P1679" s="2"/>
    </row>
    <row r="1680" spans="1:16" x14ac:dyDescent="0.25">
      <c r="A1680" s="2"/>
      <c r="B1680" s="2"/>
      <c r="F1680" s="1"/>
      <c r="G1680" s="1"/>
      <c r="I1680" s="1"/>
      <c r="J1680" s="1"/>
      <c r="L1680" s="1"/>
      <c r="M1680" s="1"/>
      <c r="O1680" s="2"/>
      <c r="P1680" s="2"/>
    </row>
    <row r="1681" spans="1:16" x14ac:dyDescent="0.25">
      <c r="A1681" s="2"/>
      <c r="B1681" s="2"/>
      <c r="F1681" s="1"/>
      <c r="G1681" s="1"/>
      <c r="I1681" s="1"/>
      <c r="J1681" s="1"/>
      <c r="L1681" s="1"/>
      <c r="M1681" s="1"/>
      <c r="O1681" s="2"/>
      <c r="P1681" s="2"/>
    </row>
    <row r="1682" spans="1:16" x14ac:dyDescent="0.25">
      <c r="A1682" s="2"/>
      <c r="B1682" s="2"/>
      <c r="F1682" s="1"/>
      <c r="G1682" s="1"/>
      <c r="I1682" s="1"/>
      <c r="J1682" s="1"/>
      <c r="L1682" s="1"/>
      <c r="M1682" s="1"/>
      <c r="O1682" s="2"/>
      <c r="P1682" s="2"/>
    </row>
    <row r="1683" spans="1:16" x14ac:dyDescent="0.25">
      <c r="A1683" s="2"/>
      <c r="B1683" s="2"/>
      <c r="F1683" s="1"/>
      <c r="G1683" s="1"/>
      <c r="I1683" s="1"/>
      <c r="J1683" s="1"/>
      <c r="L1683" s="1"/>
      <c r="M1683" s="1"/>
      <c r="O1683" s="2"/>
      <c r="P1683" s="2"/>
    </row>
    <row r="1684" spans="1:16" x14ac:dyDescent="0.25">
      <c r="A1684" s="2"/>
      <c r="B1684" s="2"/>
      <c r="F1684" s="1"/>
      <c r="G1684" s="1"/>
      <c r="I1684" s="1"/>
      <c r="J1684" s="1"/>
      <c r="L1684" s="1"/>
      <c r="M1684" s="1"/>
      <c r="O1684" s="2"/>
      <c r="P1684" s="2"/>
    </row>
    <row r="1685" spans="1:16" x14ac:dyDescent="0.25">
      <c r="A1685" s="2"/>
      <c r="B1685" s="2"/>
      <c r="F1685" s="1"/>
      <c r="G1685" s="1"/>
      <c r="I1685" s="1"/>
      <c r="J1685" s="1"/>
      <c r="L1685" s="1"/>
      <c r="M1685" s="1"/>
      <c r="O1685" s="2"/>
      <c r="P1685" s="2"/>
    </row>
    <row r="1686" spans="1:16" x14ac:dyDescent="0.25">
      <c r="A1686" s="2"/>
      <c r="B1686" s="2"/>
      <c r="F1686" s="1"/>
      <c r="G1686" s="1"/>
      <c r="I1686" s="1"/>
      <c r="J1686" s="1"/>
      <c r="L1686" s="1"/>
      <c r="M1686" s="1"/>
      <c r="O1686" s="2"/>
      <c r="P1686" s="2"/>
    </row>
    <row r="1687" spans="1:16" x14ac:dyDescent="0.25">
      <c r="A1687" s="2"/>
      <c r="B1687" s="2"/>
      <c r="F1687" s="1"/>
      <c r="G1687" s="1"/>
      <c r="I1687" s="1"/>
      <c r="J1687" s="1"/>
      <c r="L1687" s="1"/>
      <c r="M1687" s="1"/>
      <c r="O1687" s="2"/>
      <c r="P1687" s="2"/>
    </row>
    <row r="1688" spans="1:16" x14ac:dyDescent="0.25">
      <c r="A1688" s="2"/>
      <c r="B1688" s="2"/>
      <c r="F1688" s="1"/>
      <c r="G1688" s="1"/>
      <c r="I1688" s="1"/>
      <c r="J1688" s="1"/>
      <c r="L1688" s="1"/>
      <c r="M1688" s="1"/>
      <c r="O1688" s="2"/>
      <c r="P1688" s="2"/>
    </row>
    <row r="1689" spans="1:16" x14ac:dyDescent="0.25">
      <c r="A1689" s="2"/>
      <c r="B1689" s="2"/>
      <c r="F1689" s="1"/>
      <c r="G1689" s="1"/>
      <c r="I1689" s="1"/>
      <c r="J1689" s="1"/>
      <c r="L1689" s="1"/>
      <c r="M1689" s="1"/>
      <c r="O1689" s="2"/>
      <c r="P1689" s="2"/>
    </row>
    <row r="1690" spans="1:16" x14ac:dyDescent="0.25">
      <c r="A1690" s="2"/>
      <c r="B1690" s="2"/>
      <c r="F1690" s="1"/>
      <c r="G1690" s="1"/>
      <c r="I1690" s="1"/>
      <c r="J1690" s="1"/>
      <c r="L1690" s="1"/>
      <c r="M1690" s="1"/>
      <c r="O1690" s="2"/>
      <c r="P1690" s="2"/>
    </row>
    <row r="1691" spans="1:16" x14ac:dyDescent="0.25">
      <c r="A1691" s="2"/>
      <c r="B1691" s="2"/>
      <c r="F1691" s="1"/>
      <c r="G1691" s="1"/>
      <c r="I1691" s="1"/>
      <c r="J1691" s="1"/>
      <c r="L1691" s="1"/>
      <c r="M1691" s="1"/>
      <c r="O1691" s="2"/>
      <c r="P1691" s="2"/>
    </row>
    <row r="1692" spans="1:16" x14ac:dyDescent="0.25">
      <c r="A1692" s="2"/>
      <c r="B1692" s="2"/>
      <c r="F1692" s="1"/>
      <c r="G1692" s="1"/>
      <c r="I1692" s="1"/>
      <c r="J1692" s="1"/>
      <c r="L1692" s="1"/>
      <c r="M1692" s="1"/>
      <c r="O1692" s="2"/>
      <c r="P1692" s="2"/>
    </row>
    <row r="1693" spans="1:16" x14ac:dyDescent="0.25">
      <c r="A1693" s="2"/>
      <c r="B1693" s="2"/>
      <c r="F1693" s="1"/>
      <c r="G1693" s="1"/>
      <c r="I1693" s="1"/>
      <c r="J1693" s="1"/>
      <c r="L1693" s="1"/>
      <c r="M1693" s="1"/>
      <c r="O1693" s="2"/>
      <c r="P1693" s="2"/>
    </row>
    <row r="1694" spans="1:16" x14ac:dyDescent="0.25">
      <c r="A1694" s="2"/>
      <c r="B1694" s="2"/>
      <c r="F1694" s="1"/>
      <c r="G1694" s="1"/>
      <c r="I1694" s="1"/>
      <c r="J1694" s="1"/>
      <c r="L1694" s="1"/>
      <c r="M1694" s="1"/>
      <c r="O1694" s="2"/>
      <c r="P1694" s="2"/>
    </row>
    <row r="1695" spans="1:16" x14ac:dyDescent="0.25">
      <c r="A1695" s="2"/>
      <c r="B1695" s="2"/>
      <c r="F1695" s="1"/>
      <c r="G1695" s="1"/>
      <c r="I1695" s="1"/>
      <c r="J1695" s="1"/>
      <c r="L1695" s="1"/>
      <c r="M1695" s="1"/>
      <c r="O1695" s="2"/>
      <c r="P1695" s="2"/>
    </row>
    <row r="1696" spans="1:16" x14ac:dyDescent="0.25">
      <c r="A1696" s="2"/>
      <c r="B1696" s="2"/>
      <c r="F1696" s="1"/>
      <c r="G1696" s="1"/>
      <c r="I1696" s="1"/>
      <c r="J1696" s="1"/>
      <c r="L1696" s="1"/>
      <c r="M1696" s="1"/>
      <c r="O1696" s="2"/>
      <c r="P1696" s="2"/>
    </row>
    <row r="1697" spans="1:16" x14ac:dyDescent="0.25">
      <c r="A1697" s="2"/>
      <c r="B1697" s="2"/>
      <c r="F1697" s="1"/>
      <c r="G1697" s="1"/>
      <c r="I1697" s="1"/>
      <c r="J1697" s="1"/>
      <c r="L1697" s="1"/>
      <c r="M1697" s="1"/>
      <c r="O1697" s="2"/>
      <c r="P1697" s="2"/>
    </row>
    <row r="1698" spans="1:16" x14ac:dyDescent="0.25">
      <c r="A1698" s="2"/>
      <c r="B1698" s="2"/>
      <c r="F1698" s="1"/>
      <c r="G1698" s="1"/>
      <c r="I1698" s="1"/>
      <c r="J1698" s="1"/>
      <c r="L1698" s="1"/>
      <c r="M1698" s="1"/>
      <c r="O1698" s="2"/>
      <c r="P1698" s="2"/>
    </row>
    <row r="1699" spans="1:16" x14ac:dyDescent="0.25">
      <c r="A1699" s="2"/>
      <c r="B1699" s="2"/>
      <c r="F1699" s="1"/>
      <c r="G1699" s="1"/>
      <c r="I1699" s="1"/>
      <c r="J1699" s="1"/>
      <c r="L1699" s="1"/>
      <c r="M1699" s="1"/>
      <c r="O1699" s="2"/>
      <c r="P1699" s="2"/>
    </row>
    <row r="1700" spans="1:16" x14ac:dyDescent="0.25">
      <c r="A1700" s="2"/>
      <c r="B1700" s="2"/>
      <c r="F1700" s="1"/>
      <c r="G1700" s="1"/>
      <c r="I1700" s="1"/>
      <c r="J1700" s="1"/>
      <c r="L1700" s="1"/>
      <c r="M1700" s="1"/>
      <c r="O1700" s="2"/>
      <c r="P1700" s="2"/>
    </row>
    <row r="1701" spans="1:16" x14ac:dyDescent="0.25">
      <c r="A1701" s="2"/>
      <c r="B1701" s="2"/>
      <c r="F1701" s="1"/>
      <c r="G1701" s="1"/>
      <c r="I1701" s="1"/>
      <c r="J1701" s="1"/>
      <c r="L1701" s="1"/>
      <c r="M1701" s="1"/>
      <c r="O1701" s="2"/>
      <c r="P1701" s="2"/>
    </row>
    <row r="1702" spans="1:16" x14ac:dyDescent="0.25">
      <c r="A1702" s="2"/>
      <c r="B1702" s="2"/>
      <c r="F1702" s="1"/>
      <c r="G1702" s="1"/>
      <c r="I1702" s="1"/>
      <c r="J1702" s="1"/>
      <c r="L1702" s="1"/>
      <c r="M1702" s="1"/>
      <c r="O1702" s="2"/>
      <c r="P1702" s="2"/>
    </row>
    <row r="1703" spans="1:16" x14ac:dyDescent="0.25">
      <c r="A1703" s="2"/>
      <c r="B1703" s="2"/>
      <c r="F1703" s="1"/>
      <c r="G1703" s="1"/>
      <c r="I1703" s="1"/>
      <c r="J1703" s="1"/>
      <c r="L1703" s="1"/>
      <c r="M1703" s="1"/>
      <c r="O1703" s="2"/>
      <c r="P1703" s="2"/>
    </row>
    <row r="1704" spans="1:16" x14ac:dyDescent="0.25">
      <c r="A1704" s="2"/>
      <c r="B1704" s="2"/>
      <c r="F1704" s="1"/>
      <c r="G1704" s="1"/>
      <c r="I1704" s="1"/>
      <c r="J1704" s="1"/>
      <c r="L1704" s="1"/>
      <c r="M1704" s="1"/>
      <c r="O1704" s="2"/>
      <c r="P1704" s="2"/>
    </row>
    <row r="1705" spans="1:16" x14ac:dyDescent="0.25">
      <c r="A1705" s="2"/>
      <c r="B1705" s="2"/>
      <c r="F1705" s="1"/>
      <c r="G1705" s="1"/>
      <c r="I1705" s="1"/>
      <c r="J1705" s="1"/>
      <c r="L1705" s="1"/>
      <c r="M1705" s="1"/>
      <c r="O1705" s="2"/>
      <c r="P1705" s="2"/>
    </row>
    <row r="1706" spans="1:16" x14ac:dyDescent="0.25">
      <c r="A1706" s="2"/>
      <c r="B1706" s="2"/>
      <c r="F1706" s="1"/>
      <c r="G1706" s="1"/>
      <c r="I1706" s="1"/>
      <c r="J1706" s="1"/>
      <c r="L1706" s="1"/>
      <c r="M1706" s="1"/>
      <c r="O1706" s="2"/>
      <c r="P1706" s="2"/>
    </row>
    <row r="1707" spans="1:16" x14ac:dyDescent="0.25">
      <c r="A1707" s="2"/>
      <c r="B1707" s="2"/>
      <c r="F1707" s="1"/>
      <c r="G1707" s="1"/>
      <c r="I1707" s="1"/>
      <c r="J1707" s="1"/>
      <c r="L1707" s="1"/>
      <c r="M1707" s="1"/>
      <c r="O1707" s="2"/>
      <c r="P1707" s="2"/>
    </row>
    <row r="1708" spans="1:16" x14ac:dyDescent="0.25">
      <c r="A1708" s="2"/>
      <c r="B1708" s="2"/>
      <c r="F1708" s="1"/>
      <c r="G1708" s="1"/>
      <c r="I1708" s="1"/>
      <c r="J1708" s="1"/>
      <c r="L1708" s="1"/>
      <c r="M1708" s="1"/>
      <c r="O1708" s="2"/>
      <c r="P1708" s="2"/>
    </row>
    <row r="1709" spans="1:16" x14ac:dyDescent="0.25">
      <c r="A1709" s="2"/>
      <c r="B1709" s="2"/>
      <c r="F1709" s="1"/>
      <c r="G1709" s="1"/>
      <c r="I1709" s="1"/>
      <c r="J1709" s="1"/>
      <c r="L1709" s="1"/>
      <c r="M1709" s="1"/>
      <c r="O1709" s="2"/>
      <c r="P1709" s="2"/>
    </row>
    <row r="1710" spans="1:16" x14ac:dyDescent="0.25">
      <c r="A1710" s="2"/>
      <c r="B1710" s="2"/>
      <c r="F1710" s="1"/>
      <c r="G1710" s="1"/>
      <c r="I1710" s="1"/>
      <c r="J1710" s="1"/>
      <c r="L1710" s="1"/>
      <c r="M1710" s="1"/>
      <c r="O1710" s="2"/>
      <c r="P1710" s="2"/>
    </row>
    <row r="1711" spans="1:16" x14ac:dyDescent="0.25">
      <c r="A1711" s="2"/>
      <c r="B1711" s="2"/>
      <c r="F1711" s="1"/>
      <c r="G1711" s="1"/>
      <c r="I1711" s="1"/>
      <c r="J1711" s="1"/>
      <c r="L1711" s="1"/>
      <c r="M1711" s="1"/>
      <c r="O1711" s="2"/>
      <c r="P1711" s="2"/>
    </row>
    <row r="1712" spans="1:16" x14ac:dyDescent="0.25">
      <c r="A1712" s="2"/>
      <c r="B1712" s="2"/>
      <c r="F1712" s="1"/>
      <c r="G1712" s="1"/>
      <c r="I1712" s="1"/>
      <c r="J1712" s="1"/>
      <c r="L1712" s="1"/>
      <c r="M1712" s="1"/>
      <c r="O1712" s="2"/>
      <c r="P1712" s="2"/>
    </row>
    <row r="1713" spans="1:16" x14ac:dyDescent="0.25">
      <c r="A1713" s="2"/>
      <c r="B1713" s="2"/>
      <c r="F1713" s="1"/>
      <c r="G1713" s="1"/>
      <c r="I1713" s="1"/>
      <c r="J1713" s="1"/>
      <c r="L1713" s="1"/>
      <c r="M1713" s="1"/>
      <c r="O1713" s="2"/>
      <c r="P1713" s="2"/>
    </row>
    <row r="1714" spans="1:16" x14ac:dyDescent="0.25">
      <c r="A1714" s="2"/>
      <c r="B1714" s="2"/>
      <c r="F1714" s="1"/>
      <c r="G1714" s="1"/>
      <c r="I1714" s="1"/>
      <c r="J1714" s="1"/>
      <c r="L1714" s="1"/>
      <c r="M1714" s="1"/>
      <c r="O1714" s="2"/>
      <c r="P1714" s="2"/>
    </row>
    <row r="1715" spans="1:16" x14ac:dyDescent="0.25">
      <c r="A1715" s="2"/>
      <c r="B1715" s="2"/>
      <c r="F1715" s="1"/>
      <c r="G1715" s="1"/>
      <c r="I1715" s="1"/>
      <c r="J1715" s="1"/>
      <c r="L1715" s="1"/>
      <c r="M1715" s="1"/>
      <c r="O1715" s="2"/>
      <c r="P1715" s="2"/>
    </row>
    <row r="1716" spans="1:16" x14ac:dyDescent="0.25">
      <c r="A1716" s="2"/>
      <c r="B1716" s="2"/>
      <c r="F1716" s="1"/>
      <c r="G1716" s="1"/>
      <c r="I1716" s="1"/>
      <c r="J1716" s="1"/>
      <c r="L1716" s="1"/>
      <c r="M1716" s="1"/>
      <c r="O1716" s="2"/>
      <c r="P1716" s="2"/>
    </row>
    <row r="1717" spans="1:16" x14ac:dyDescent="0.25">
      <c r="A1717" s="2"/>
      <c r="B1717" s="2"/>
      <c r="F1717" s="1"/>
      <c r="G1717" s="1"/>
      <c r="I1717" s="1"/>
      <c r="J1717" s="1"/>
      <c r="L1717" s="1"/>
      <c r="M1717" s="1"/>
      <c r="O1717" s="2"/>
      <c r="P1717" s="2"/>
    </row>
    <row r="1718" spans="1:16" x14ac:dyDescent="0.25">
      <c r="A1718" s="2"/>
      <c r="B1718" s="2"/>
      <c r="F1718" s="1"/>
      <c r="G1718" s="1"/>
      <c r="I1718" s="1"/>
      <c r="J1718" s="1"/>
      <c r="L1718" s="1"/>
      <c r="M1718" s="1"/>
      <c r="O1718" s="2"/>
      <c r="P1718" s="2"/>
    </row>
    <row r="1719" spans="1:16" x14ac:dyDescent="0.25">
      <c r="A1719" s="2"/>
      <c r="B1719" s="2"/>
      <c r="F1719" s="1"/>
      <c r="G1719" s="1"/>
      <c r="I1719" s="1"/>
      <c r="J1719" s="1"/>
      <c r="L1719" s="1"/>
      <c r="M1719" s="1"/>
      <c r="O1719" s="2"/>
      <c r="P1719" s="2"/>
    </row>
    <row r="1720" spans="1:16" x14ac:dyDescent="0.25">
      <c r="A1720" s="2"/>
      <c r="B1720" s="2"/>
      <c r="F1720" s="1"/>
      <c r="G1720" s="1"/>
      <c r="I1720" s="1"/>
      <c r="J1720" s="1"/>
      <c r="L1720" s="1"/>
      <c r="M1720" s="1"/>
      <c r="O1720" s="2"/>
      <c r="P1720" s="2"/>
    </row>
    <row r="1721" spans="1:16" x14ac:dyDescent="0.25">
      <c r="A1721" s="2"/>
      <c r="B1721" s="2"/>
      <c r="F1721" s="1"/>
      <c r="G1721" s="1"/>
      <c r="I1721" s="1"/>
      <c r="J1721" s="1"/>
      <c r="L1721" s="1"/>
      <c r="M1721" s="1"/>
      <c r="O1721" s="2"/>
      <c r="P1721" s="2"/>
    </row>
    <row r="1722" spans="1:16" x14ac:dyDescent="0.25">
      <c r="A1722" s="2"/>
      <c r="B1722" s="2"/>
      <c r="F1722" s="1"/>
      <c r="G1722" s="1"/>
      <c r="I1722" s="1"/>
      <c r="J1722" s="1"/>
      <c r="L1722" s="1"/>
      <c r="M1722" s="1"/>
      <c r="O1722" s="2"/>
      <c r="P1722" s="2"/>
    </row>
    <row r="1723" spans="1:16" x14ac:dyDescent="0.25">
      <c r="A1723" s="2"/>
      <c r="B1723" s="2"/>
      <c r="F1723" s="1"/>
      <c r="G1723" s="1"/>
      <c r="I1723" s="1"/>
      <c r="J1723" s="1"/>
      <c r="L1723" s="1"/>
      <c r="M1723" s="1"/>
      <c r="O1723" s="2"/>
      <c r="P1723" s="2"/>
    </row>
    <row r="1724" spans="1:16" x14ac:dyDescent="0.25">
      <c r="A1724" s="2"/>
      <c r="B1724" s="2"/>
      <c r="F1724" s="1"/>
      <c r="G1724" s="1"/>
      <c r="I1724" s="1"/>
      <c r="J1724" s="1"/>
      <c r="L1724" s="1"/>
      <c r="M1724" s="1"/>
      <c r="O1724" s="2"/>
      <c r="P1724" s="2"/>
    </row>
    <row r="1725" spans="1:16" x14ac:dyDescent="0.25">
      <c r="A1725" s="2"/>
      <c r="B1725" s="2"/>
      <c r="F1725" s="1"/>
      <c r="G1725" s="1"/>
      <c r="I1725" s="1"/>
      <c r="J1725" s="1"/>
      <c r="L1725" s="1"/>
      <c r="M1725" s="1"/>
      <c r="O1725" s="2"/>
      <c r="P1725" s="2"/>
    </row>
    <row r="1726" spans="1:16" x14ac:dyDescent="0.25">
      <c r="A1726" s="2"/>
      <c r="B1726" s="2"/>
      <c r="F1726" s="1"/>
      <c r="G1726" s="1"/>
      <c r="I1726" s="1"/>
      <c r="J1726" s="1"/>
      <c r="L1726" s="1"/>
      <c r="M1726" s="1"/>
      <c r="O1726" s="2"/>
      <c r="P1726" s="2"/>
    </row>
    <row r="1727" spans="1:16" x14ac:dyDescent="0.25">
      <c r="A1727" s="2"/>
      <c r="B1727" s="2"/>
      <c r="F1727" s="1"/>
      <c r="G1727" s="1"/>
      <c r="I1727" s="1"/>
      <c r="J1727" s="1"/>
      <c r="L1727" s="1"/>
      <c r="M1727" s="1"/>
      <c r="O1727" s="2"/>
      <c r="P1727" s="2"/>
    </row>
    <row r="1728" spans="1:16" x14ac:dyDescent="0.25">
      <c r="A1728" s="2"/>
      <c r="B1728" s="2"/>
      <c r="F1728" s="1"/>
      <c r="G1728" s="1"/>
      <c r="I1728" s="1"/>
      <c r="J1728" s="1"/>
      <c r="L1728" s="1"/>
      <c r="M1728" s="1"/>
      <c r="O1728" s="2"/>
      <c r="P1728" s="2"/>
    </row>
    <row r="1729" spans="1:16" x14ac:dyDescent="0.25">
      <c r="A1729" s="2"/>
      <c r="B1729" s="2"/>
      <c r="F1729" s="1"/>
      <c r="G1729" s="1"/>
      <c r="I1729" s="1"/>
      <c r="J1729" s="1"/>
      <c r="L1729" s="1"/>
      <c r="M1729" s="1"/>
      <c r="O1729" s="2"/>
      <c r="P1729" s="2"/>
    </row>
    <row r="1730" spans="1:16" x14ac:dyDescent="0.25">
      <c r="A1730" s="2"/>
      <c r="B1730" s="2"/>
      <c r="F1730" s="1"/>
      <c r="G1730" s="1"/>
      <c r="I1730" s="1"/>
      <c r="J1730" s="1"/>
      <c r="L1730" s="1"/>
      <c r="M1730" s="1"/>
      <c r="O1730" s="2"/>
      <c r="P1730" s="2"/>
    </row>
    <row r="1731" spans="1:16" x14ac:dyDescent="0.25">
      <c r="A1731" s="2"/>
      <c r="B1731" s="2"/>
      <c r="F1731" s="1"/>
      <c r="G1731" s="1"/>
      <c r="I1731" s="1"/>
      <c r="J1731" s="1"/>
      <c r="L1731" s="1"/>
      <c r="M1731" s="1"/>
      <c r="O1731" s="2"/>
      <c r="P1731" s="2"/>
    </row>
    <row r="1732" spans="1:16" x14ac:dyDescent="0.25">
      <c r="A1732" s="2"/>
      <c r="B1732" s="2"/>
      <c r="F1732" s="1"/>
      <c r="G1732" s="1"/>
      <c r="I1732" s="1"/>
      <c r="J1732" s="1"/>
      <c r="L1732" s="1"/>
      <c r="M1732" s="1"/>
      <c r="O1732" s="2"/>
      <c r="P1732" s="2"/>
    </row>
    <row r="1733" spans="1:16" x14ac:dyDescent="0.25">
      <c r="A1733" s="2"/>
      <c r="B1733" s="2"/>
      <c r="F1733" s="1"/>
      <c r="G1733" s="1"/>
      <c r="I1733" s="1"/>
      <c r="J1733" s="1"/>
      <c r="L1733" s="1"/>
      <c r="M1733" s="1"/>
      <c r="O1733" s="2"/>
      <c r="P1733" s="2"/>
    </row>
    <row r="1734" spans="1:16" x14ac:dyDescent="0.25">
      <c r="A1734" s="2"/>
      <c r="B1734" s="2"/>
      <c r="F1734" s="1"/>
      <c r="G1734" s="1"/>
      <c r="I1734" s="1"/>
      <c r="J1734" s="1"/>
      <c r="L1734" s="1"/>
      <c r="M1734" s="1"/>
      <c r="O1734" s="2"/>
      <c r="P1734" s="2"/>
    </row>
    <row r="1735" spans="1:16" x14ac:dyDescent="0.25">
      <c r="A1735" s="2"/>
      <c r="B1735" s="2"/>
      <c r="F1735" s="1"/>
      <c r="G1735" s="1"/>
      <c r="I1735" s="1"/>
      <c r="J1735" s="1"/>
      <c r="L1735" s="1"/>
      <c r="M1735" s="1"/>
      <c r="O1735" s="2"/>
      <c r="P1735" s="2"/>
    </row>
    <row r="1736" spans="1:16" x14ac:dyDescent="0.25">
      <c r="A1736" s="2"/>
      <c r="B1736" s="2"/>
      <c r="F1736" s="1"/>
      <c r="G1736" s="1"/>
      <c r="I1736" s="1"/>
      <c r="J1736" s="1"/>
      <c r="L1736" s="1"/>
      <c r="M1736" s="1"/>
      <c r="O1736" s="2"/>
      <c r="P1736" s="2"/>
    </row>
    <row r="1737" spans="1:16" x14ac:dyDescent="0.25">
      <c r="A1737" s="2"/>
      <c r="B1737" s="2"/>
      <c r="F1737" s="1"/>
      <c r="G1737" s="1"/>
      <c r="I1737" s="1"/>
      <c r="J1737" s="1"/>
      <c r="L1737" s="1"/>
      <c r="M1737" s="1"/>
      <c r="O1737" s="2"/>
      <c r="P1737" s="2"/>
    </row>
    <row r="1738" spans="1:16" x14ac:dyDescent="0.25">
      <c r="A1738" s="2"/>
      <c r="B1738" s="2"/>
      <c r="F1738" s="1"/>
      <c r="G1738" s="1"/>
      <c r="I1738" s="1"/>
      <c r="J1738" s="1"/>
      <c r="L1738" s="1"/>
      <c r="M1738" s="1"/>
      <c r="O1738" s="2"/>
      <c r="P1738" s="2"/>
    </row>
    <row r="1739" spans="1:16" x14ac:dyDescent="0.25">
      <c r="A1739" s="2"/>
      <c r="B1739" s="2"/>
      <c r="F1739" s="1"/>
      <c r="G1739" s="1"/>
      <c r="I1739" s="1"/>
      <c r="J1739" s="1"/>
      <c r="L1739" s="1"/>
      <c r="M1739" s="1"/>
      <c r="O1739" s="2"/>
      <c r="P1739" s="2"/>
    </row>
    <row r="1740" spans="1:16" x14ac:dyDescent="0.25">
      <c r="A1740" s="2"/>
      <c r="B1740" s="2"/>
      <c r="F1740" s="1"/>
      <c r="G1740" s="1"/>
      <c r="I1740" s="1"/>
      <c r="J1740" s="1"/>
      <c r="L1740" s="1"/>
      <c r="M1740" s="1"/>
      <c r="O1740" s="2"/>
      <c r="P1740" s="2"/>
    </row>
    <row r="1741" spans="1:16" x14ac:dyDescent="0.25">
      <c r="A1741" s="2"/>
      <c r="B1741" s="2"/>
      <c r="F1741" s="1"/>
      <c r="G1741" s="1"/>
      <c r="I1741" s="1"/>
      <c r="J1741" s="1"/>
      <c r="L1741" s="1"/>
      <c r="M1741" s="1"/>
      <c r="O1741" s="2"/>
      <c r="P1741" s="2"/>
    </row>
    <row r="1742" spans="1:16" x14ac:dyDescent="0.25">
      <c r="A1742" s="2"/>
      <c r="B1742" s="2"/>
      <c r="F1742" s="1"/>
      <c r="G1742" s="1"/>
      <c r="I1742" s="1"/>
      <c r="J1742" s="1"/>
      <c r="L1742" s="1"/>
      <c r="M1742" s="1"/>
      <c r="O1742" s="2"/>
      <c r="P1742" s="2"/>
    </row>
    <row r="1743" spans="1:16" x14ac:dyDescent="0.25">
      <c r="A1743" s="2"/>
      <c r="B1743" s="2"/>
      <c r="F1743" s="1"/>
      <c r="G1743" s="1"/>
      <c r="I1743" s="1"/>
      <c r="J1743" s="1"/>
      <c r="L1743" s="1"/>
      <c r="M1743" s="1"/>
      <c r="O1743" s="2"/>
      <c r="P1743" s="2"/>
    </row>
    <row r="1744" spans="1:16" x14ac:dyDescent="0.25">
      <c r="A1744" s="2"/>
      <c r="B1744" s="2"/>
      <c r="F1744" s="1"/>
      <c r="G1744" s="1"/>
      <c r="I1744" s="1"/>
      <c r="J1744" s="1"/>
      <c r="L1744" s="1"/>
      <c r="M1744" s="1"/>
      <c r="O1744" s="2"/>
      <c r="P1744" s="2"/>
    </row>
    <row r="1745" spans="1:16" x14ac:dyDescent="0.25">
      <c r="A1745" s="2"/>
      <c r="B1745" s="2"/>
      <c r="F1745" s="1"/>
      <c r="G1745" s="1"/>
      <c r="I1745" s="1"/>
      <c r="J1745" s="1"/>
      <c r="L1745" s="1"/>
      <c r="M1745" s="1"/>
      <c r="O1745" s="2"/>
      <c r="P1745" s="2"/>
    </row>
    <row r="1746" spans="1:16" x14ac:dyDescent="0.25">
      <c r="A1746" s="2"/>
      <c r="B1746" s="2"/>
      <c r="F1746" s="1"/>
      <c r="G1746" s="1"/>
      <c r="I1746" s="1"/>
      <c r="J1746" s="1"/>
      <c r="L1746" s="1"/>
      <c r="M1746" s="1"/>
      <c r="O1746" s="2"/>
      <c r="P1746" s="2"/>
    </row>
    <row r="1747" spans="1:16" x14ac:dyDescent="0.25">
      <c r="A1747" s="2"/>
      <c r="B1747" s="2"/>
      <c r="F1747" s="1"/>
      <c r="G1747" s="1"/>
      <c r="I1747" s="1"/>
      <c r="J1747" s="1"/>
      <c r="L1747" s="1"/>
      <c r="M1747" s="1"/>
      <c r="O1747" s="2"/>
      <c r="P1747" s="2"/>
    </row>
    <row r="1748" spans="1:16" x14ac:dyDescent="0.25">
      <c r="A1748" s="2"/>
      <c r="B1748" s="2"/>
      <c r="F1748" s="1"/>
      <c r="G1748" s="1"/>
      <c r="I1748" s="1"/>
      <c r="J1748" s="1"/>
      <c r="L1748" s="1"/>
      <c r="M1748" s="1"/>
      <c r="O1748" s="2"/>
      <c r="P1748" s="2"/>
    </row>
    <row r="1749" spans="1:16" x14ac:dyDescent="0.25">
      <c r="A1749" s="2"/>
      <c r="B1749" s="2"/>
      <c r="F1749" s="1"/>
      <c r="G1749" s="1"/>
      <c r="I1749" s="1"/>
      <c r="J1749" s="1"/>
      <c r="L1749" s="1"/>
      <c r="M1749" s="1"/>
      <c r="O1749" s="2"/>
      <c r="P1749" s="2"/>
    </row>
    <row r="1750" spans="1:16" x14ac:dyDescent="0.25">
      <c r="A1750" s="2"/>
      <c r="B1750" s="2"/>
      <c r="F1750" s="1"/>
      <c r="G1750" s="1"/>
      <c r="I1750" s="1"/>
      <c r="J1750" s="1"/>
      <c r="L1750" s="1"/>
      <c r="M1750" s="1"/>
      <c r="O1750" s="2"/>
      <c r="P1750" s="2"/>
    </row>
    <row r="1751" spans="1:16" x14ac:dyDescent="0.25">
      <c r="A1751" s="2"/>
      <c r="B1751" s="2"/>
      <c r="F1751" s="1"/>
      <c r="G1751" s="1"/>
      <c r="I1751" s="1"/>
      <c r="J1751" s="1"/>
      <c r="L1751" s="1"/>
      <c r="M1751" s="1"/>
      <c r="O1751" s="2"/>
      <c r="P1751" s="2"/>
    </row>
    <row r="1752" spans="1:16" x14ac:dyDescent="0.25">
      <c r="A1752" s="2"/>
      <c r="B1752" s="2"/>
      <c r="F1752" s="1"/>
      <c r="G1752" s="1"/>
      <c r="I1752" s="1"/>
      <c r="J1752" s="1"/>
      <c r="L1752" s="1"/>
      <c r="M1752" s="1"/>
      <c r="O1752" s="2"/>
      <c r="P1752" s="2"/>
    </row>
    <row r="1753" spans="1:16" x14ac:dyDescent="0.25">
      <c r="A1753" s="2"/>
      <c r="B1753" s="2"/>
      <c r="F1753" s="1"/>
      <c r="G1753" s="1"/>
      <c r="I1753" s="1"/>
      <c r="J1753" s="1"/>
      <c r="L1753" s="1"/>
      <c r="M1753" s="1"/>
      <c r="O1753" s="2"/>
      <c r="P1753" s="2"/>
    </row>
    <row r="1754" spans="1:16" x14ac:dyDescent="0.25">
      <c r="A1754" s="2"/>
      <c r="B1754" s="2"/>
      <c r="F1754" s="1"/>
      <c r="G1754" s="1"/>
      <c r="I1754" s="1"/>
      <c r="J1754" s="1"/>
      <c r="L1754" s="1"/>
      <c r="M1754" s="1"/>
      <c r="O1754" s="2"/>
      <c r="P1754" s="2"/>
    </row>
    <row r="1755" spans="1:16" x14ac:dyDescent="0.25">
      <c r="A1755" s="2"/>
      <c r="B1755" s="2"/>
      <c r="F1755" s="1"/>
      <c r="G1755" s="1"/>
      <c r="I1755" s="1"/>
      <c r="J1755" s="1"/>
      <c r="L1755" s="1"/>
      <c r="M1755" s="1"/>
      <c r="O1755" s="2"/>
      <c r="P1755" s="2"/>
    </row>
    <row r="1756" spans="1:16" x14ac:dyDescent="0.25">
      <c r="A1756" s="2"/>
      <c r="B1756" s="2"/>
      <c r="F1756" s="1"/>
      <c r="G1756" s="1"/>
      <c r="I1756" s="1"/>
      <c r="J1756" s="1"/>
      <c r="L1756" s="1"/>
      <c r="M1756" s="1"/>
      <c r="O1756" s="2"/>
      <c r="P1756" s="2"/>
    </row>
    <row r="1757" spans="1:16" x14ac:dyDescent="0.25">
      <c r="A1757" s="2"/>
      <c r="B1757" s="2"/>
      <c r="F1757" s="1"/>
      <c r="G1757" s="1"/>
      <c r="I1757" s="1"/>
      <c r="J1757" s="1"/>
      <c r="L1757" s="1"/>
      <c r="M1757" s="1"/>
      <c r="O1757" s="2"/>
      <c r="P1757" s="2"/>
    </row>
    <row r="1758" spans="1:16" x14ac:dyDescent="0.25">
      <c r="A1758" s="2"/>
      <c r="B1758" s="2"/>
      <c r="F1758" s="1"/>
      <c r="G1758" s="1"/>
      <c r="I1758" s="1"/>
      <c r="J1758" s="1"/>
      <c r="L1758" s="1"/>
      <c r="M1758" s="1"/>
      <c r="O1758" s="2"/>
      <c r="P1758" s="2"/>
    </row>
    <row r="1759" spans="1:16" x14ac:dyDescent="0.25">
      <c r="A1759" s="2"/>
      <c r="B1759" s="2"/>
      <c r="F1759" s="1"/>
      <c r="G1759" s="1"/>
      <c r="I1759" s="1"/>
      <c r="J1759" s="1"/>
      <c r="L1759" s="1"/>
      <c r="M1759" s="1"/>
      <c r="O1759" s="2"/>
      <c r="P1759" s="2"/>
    </row>
    <row r="1760" spans="1:16" x14ac:dyDescent="0.25">
      <c r="A1760" s="2"/>
      <c r="B1760" s="2"/>
      <c r="F1760" s="1"/>
      <c r="G1760" s="1"/>
      <c r="I1760" s="1"/>
      <c r="J1760" s="1"/>
      <c r="L1760" s="1"/>
      <c r="M1760" s="1"/>
      <c r="O1760" s="2"/>
      <c r="P1760" s="2"/>
    </row>
    <row r="1761" spans="1:16" x14ac:dyDescent="0.25">
      <c r="A1761" s="2"/>
      <c r="B1761" s="2"/>
      <c r="F1761" s="1"/>
      <c r="G1761" s="1"/>
      <c r="I1761" s="1"/>
      <c r="J1761" s="1"/>
      <c r="L1761" s="1"/>
      <c r="M1761" s="1"/>
      <c r="O1761" s="2"/>
      <c r="P1761" s="2"/>
    </row>
    <row r="1762" spans="1:16" x14ac:dyDescent="0.25">
      <c r="A1762" s="2"/>
      <c r="B1762" s="2"/>
      <c r="F1762" s="1"/>
      <c r="G1762" s="1"/>
      <c r="I1762" s="1"/>
      <c r="J1762" s="1"/>
      <c r="L1762" s="1"/>
      <c r="M1762" s="1"/>
      <c r="O1762" s="2"/>
      <c r="P1762" s="2"/>
    </row>
    <row r="1763" spans="1:16" x14ac:dyDescent="0.25">
      <c r="A1763" s="2"/>
      <c r="B1763" s="2"/>
      <c r="F1763" s="1"/>
      <c r="G1763" s="1"/>
      <c r="I1763" s="1"/>
      <c r="J1763" s="1"/>
      <c r="L1763" s="1"/>
      <c r="M1763" s="1"/>
      <c r="O1763" s="2"/>
      <c r="P1763" s="2"/>
    </row>
    <row r="1764" spans="1:16" x14ac:dyDescent="0.25">
      <c r="A1764" s="2"/>
      <c r="B1764" s="2"/>
      <c r="F1764" s="1"/>
      <c r="G1764" s="1"/>
      <c r="I1764" s="1"/>
      <c r="J1764" s="1"/>
      <c r="L1764" s="1"/>
      <c r="M1764" s="1"/>
      <c r="O1764" s="2"/>
      <c r="P1764" s="2"/>
    </row>
    <row r="1765" spans="1:16" x14ac:dyDescent="0.25">
      <c r="A1765" s="2"/>
      <c r="B1765" s="2"/>
      <c r="F1765" s="1"/>
      <c r="G1765" s="1"/>
      <c r="I1765" s="1"/>
      <c r="J1765" s="1"/>
      <c r="L1765" s="1"/>
      <c r="M1765" s="1"/>
      <c r="O1765" s="2"/>
      <c r="P1765" s="2"/>
    </row>
    <row r="1766" spans="1:16" x14ac:dyDescent="0.25">
      <c r="A1766" s="2"/>
      <c r="B1766" s="2"/>
      <c r="F1766" s="1"/>
      <c r="G1766" s="1"/>
      <c r="I1766" s="1"/>
      <c r="J1766" s="1"/>
      <c r="L1766" s="1"/>
      <c r="M1766" s="1"/>
      <c r="O1766" s="2"/>
      <c r="P1766" s="2"/>
    </row>
    <row r="1767" spans="1:16" x14ac:dyDescent="0.25">
      <c r="A1767" s="2"/>
      <c r="B1767" s="2"/>
      <c r="F1767" s="1"/>
      <c r="G1767" s="1"/>
      <c r="I1767" s="1"/>
      <c r="J1767" s="1"/>
      <c r="L1767" s="1"/>
      <c r="M1767" s="1"/>
      <c r="O1767" s="2"/>
      <c r="P1767" s="2"/>
    </row>
    <row r="1768" spans="1:16" x14ac:dyDescent="0.25">
      <c r="A1768" s="2"/>
      <c r="B1768" s="2"/>
      <c r="F1768" s="1"/>
      <c r="G1768" s="1"/>
      <c r="I1768" s="1"/>
      <c r="J1768" s="1"/>
      <c r="L1768" s="1"/>
      <c r="M1768" s="1"/>
      <c r="O1768" s="2"/>
      <c r="P1768" s="2"/>
    </row>
    <row r="1769" spans="1:16" x14ac:dyDescent="0.25">
      <c r="A1769" s="2"/>
      <c r="B1769" s="2"/>
      <c r="F1769" s="1"/>
      <c r="G1769" s="1"/>
      <c r="I1769" s="1"/>
      <c r="J1769" s="1"/>
      <c r="L1769" s="1"/>
      <c r="M1769" s="1"/>
      <c r="O1769" s="2"/>
      <c r="P1769" s="2"/>
    </row>
    <row r="1770" spans="1:16" x14ac:dyDescent="0.25">
      <c r="A1770" s="2"/>
      <c r="B1770" s="2"/>
      <c r="F1770" s="1"/>
      <c r="G1770" s="1"/>
      <c r="I1770" s="1"/>
      <c r="J1770" s="1"/>
      <c r="L1770" s="1"/>
      <c r="M1770" s="1"/>
      <c r="O1770" s="2"/>
      <c r="P1770" s="2"/>
    </row>
    <row r="1771" spans="1:16" x14ac:dyDescent="0.25">
      <c r="A1771" s="2"/>
      <c r="B1771" s="2"/>
      <c r="F1771" s="1"/>
      <c r="G1771" s="1"/>
      <c r="I1771" s="1"/>
      <c r="J1771" s="1"/>
      <c r="L1771" s="1"/>
      <c r="M1771" s="1"/>
      <c r="O1771" s="2"/>
      <c r="P1771" s="2"/>
    </row>
    <row r="1772" spans="1:16" x14ac:dyDescent="0.25">
      <c r="A1772" s="2"/>
      <c r="B1772" s="2"/>
      <c r="F1772" s="1"/>
      <c r="G1772" s="1"/>
      <c r="I1772" s="1"/>
      <c r="J1772" s="1"/>
      <c r="L1772" s="1"/>
      <c r="M1772" s="1"/>
      <c r="O1772" s="2"/>
      <c r="P1772" s="2"/>
    </row>
    <row r="1773" spans="1:16" x14ac:dyDescent="0.25">
      <c r="A1773" s="2"/>
      <c r="B1773" s="2"/>
      <c r="F1773" s="1"/>
      <c r="G1773" s="1"/>
      <c r="I1773" s="1"/>
      <c r="J1773" s="1"/>
      <c r="L1773" s="1"/>
      <c r="M1773" s="1"/>
      <c r="O1773" s="2"/>
      <c r="P1773" s="2"/>
    </row>
    <row r="1774" spans="1:16" x14ac:dyDescent="0.25">
      <c r="A1774" s="2"/>
      <c r="B1774" s="2"/>
      <c r="F1774" s="1"/>
      <c r="G1774" s="1"/>
      <c r="I1774" s="1"/>
      <c r="J1774" s="1"/>
      <c r="L1774" s="1"/>
      <c r="M1774" s="1"/>
      <c r="O1774" s="2"/>
      <c r="P1774" s="2"/>
    </row>
    <row r="1775" spans="1:16" x14ac:dyDescent="0.25">
      <c r="A1775" s="2"/>
      <c r="B1775" s="2"/>
      <c r="F1775" s="1"/>
      <c r="G1775" s="1"/>
      <c r="I1775" s="1"/>
      <c r="J1775" s="1"/>
      <c r="L1775" s="1"/>
      <c r="M1775" s="1"/>
      <c r="O1775" s="2"/>
      <c r="P1775" s="2"/>
    </row>
    <row r="1776" spans="1:16" x14ac:dyDescent="0.25">
      <c r="A1776" s="2"/>
      <c r="B1776" s="2"/>
      <c r="F1776" s="1"/>
      <c r="G1776" s="1"/>
      <c r="I1776" s="1"/>
      <c r="J1776" s="1"/>
      <c r="L1776" s="1"/>
      <c r="M1776" s="1"/>
      <c r="O1776" s="2"/>
      <c r="P1776" s="2"/>
    </row>
    <row r="1777" spans="1:16" x14ac:dyDescent="0.25">
      <c r="A1777" s="2"/>
      <c r="B1777" s="2"/>
      <c r="F1777" s="1"/>
      <c r="G1777" s="1"/>
      <c r="I1777" s="1"/>
      <c r="J1777" s="1"/>
      <c r="L1777" s="1"/>
      <c r="M1777" s="1"/>
      <c r="O1777" s="2"/>
      <c r="P1777" s="2"/>
    </row>
    <row r="1778" spans="1:16" x14ac:dyDescent="0.25">
      <c r="A1778" s="2"/>
      <c r="B1778" s="2"/>
      <c r="F1778" s="1"/>
      <c r="G1778" s="1"/>
      <c r="I1778" s="1"/>
      <c r="J1778" s="1"/>
      <c r="L1778" s="1"/>
      <c r="M1778" s="1"/>
      <c r="O1778" s="2"/>
      <c r="P1778" s="2"/>
    </row>
    <row r="1779" spans="1:16" x14ac:dyDescent="0.25">
      <c r="A1779" s="2"/>
      <c r="B1779" s="2"/>
      <c r="F1779" s="1"/>
      <c r="G1779" s="1"/>
      <c r="I1779" s="1"/>
      <c r="J1779" s="1"/>
      <c r="L1779" s="1"/>
      <c r="M1779" s="1"/>
      <c r="O1779" s="2"/>
      <c r="P1779" s="2"/>
    </row>
    <row r="1780" spans="1:16" x14ac:dyDescent="0.25">
      <c r="A1780" s="2"/>
      <c r="B1780" s="2"/>
      <c r="F1780" s="1"/>
      <c r="G1780" s="1"/>
      <c r="I1780" s="1"/>
      <c r="J1780" s="1"/>
      <c r="L1780" s="1"/>
      <c r="M1780" s="1"/>
      <c r="O1780" s="2"/>
      <c r="P1780" s="2"/>
    </row>
    <row r="1781" spans="1:16" x14ac:dyDescent="0.25">
      <c r="A1781" s="2"/>
      <c r="B1781" s="2"/>
      <c r="F1781" s="1"/>
      <c r="G1781" s="1"/>
      <c r="I1781" s="1"/>
      <c r="J1781" s="1"/>
      <c r="L1781" s="1"/>
      <c r="M1781" s="1"/>
      <c r="O1781" s="2"/>
      <c r="P1781" s="2"/>
    </row>
    <row r="1782" spans="1:16" x14ac:dyDescent="0.25">
      <c r="A1782" s="2"/>
      <c r="B1782" s="2"/>
      <c r="F1782" s="1"/>
      <c r="G1782" s="1"/>
      <c r="I1782" s="1"/>
      <c r="J1782" s="1"/>
      <c r="L1782" s="1"/>
      <c r="M1782" s="1"/>
      <c r="O1782" s="2"/>
      <c r="P1782" s="2"/>
    </row>
    <row r="1783" spans="1:16" x14ac:dyDescent="0.25">
      <c r="A1783" s="2"/>
      <c r="B1783" s="2"/>
      <c r="F1783" s="1"/>
      <c r="G1783" s="1"/>
      <c r="I1783" s="1"/>
      <c r="J1783" s="1"/>
      <c r="L1783" s="1"/>
      <c r="M1783" s="1"/>
      <c r="O1783" s="2"/>
      <c r="P1783" s="2"/>
    </row>
    <row r="1784" spans="1:16" x14ac:dyDescent="0.25">
      <c r="A1784" s="2"/>
      <c r="B1784" s="2"/>
      <c r="F1784" s="1"/>
      <c r="G1784" s="1"/>
      <c r="I1784" s="1"/>
      <c r="J1784" s="1"/>
      <c r="L1784" s="1"/>
      <c r="M1784" s="1"/>
      <c r="O1784" s="2"/>
      <c r="P1784" s="2"/>
    </row>
    <row r="1785" spans="1:16" x14ac:dyDescent="0.25">
      <c r="A1785" s="2"/>
      <c r="B1785" s="2"/>
      <c r="F1785" s="1"/>
      <c r="G1785" s="1"/>
      <c r="I1785" s="1"/>
      <c r="J1785" s="1"/>
      <c r="L1785" s="1"/>
      <c r="M1785" s="1"/>
      <c r="O1785" s="2"/>
      <c r="P1785" s="2"/>
    </row>
    <row r="1786" spans="1:16" x14ac:dyDescent="0.25">
      <c r="A1786" s="2"/>
      <c r="B1786" s="2"/>
      <c r="F1786" s="1"/>
      <c r="G1786" s="1"/>
      <c r="I1786" s="1"/>
      <c r="J1786" s="1"/>
      <c r="L1786" s="1"/>
      <c r="M1786" s="1"/>
      <c r="O1786" s="2"/>
      <c r="P1786" s="2"/>
    </row>
    <row r="1787" spans="1:16" x14ac:dyDescent="0.25">
      <c r="A1787" s="2"/>
      <c r="B1787" s="2"/>
      <c r="F1787" s="1"/>
      <c r="G1787" s="1"/>
      <c r="I1787" s="1"/>
      <c r="J1787" s="1"/>
      <c r="L1787" s="1"/>
      <c r="M1787" s="1"/>
      <c r="O1787" s="2"/>
      <c r="P1787" s="2"/>
    </row>
    <row r="1788" spans="1:16" x14ac:dyDescent="0.25">
      <c r="A1788" s="2"/>
      <c r="B1788" s="2"/>
      <c r="F1788" s="1"/>
      <c r="G1788" s="1"/>
      <c r="I1788" s="1"/>
      <c r="J1788" s="1"/>
      <c r="L1788" s="1"/>
      <c r="M1788" s="1"/>
      <c r="O1788" s="2"/>
      <c r="P1788" s="2"/>
    </row>
    <row r="1789" spans="1:16" x14ac:dyDescent="0.25">
      <c r="A1789" s="2"/>
      <c r="B1789" s="2"/>
      <c r="F1789" s="1"/>
      <c r="G1789" s="1"/>
      <c r="I1789" s="1"/>
      <c r="J1789" s="1"/>
      <c r="L1789" s="1"/>
      <c r="M1789" s="1"/>
      <c r="O1789" s="2"/>
      <c r="P1789" s="2"/>
    </row>
    <row r="1790" spans="1:16" x14ac:dyDescent="0.25">
      <c r="A1790" s="2"/>
      <c r="B1790" s="2"/>
      <c r="F1790" s="1"/>
      <c r="G1790" s="1"/>
      <c r="I1790" s="1"/>
      <c r="J1790" s="1"/>
      <c r="L1790" s="1"/>
      <c r="M1790" s="1"/>
      <c r="O1790" s="2"/>
      <c r="P1790" s="2"/>
    </row>
    <row r="1791" spans="1:16" x14ac:dyDescent="0.25">
      <c r="A1791" s="2"/>
      <c r="B1791" s="2"/>
      <c r="F1791" s="1"/>
      <c r="G1791" s="1"/>
      <c r="I1791" s="1"/>
      <c r="J1791" s="1"/>
      <c r="L1791" s="1"/>
      <c r="M1791" s="1"/>
      <c r="O1791" s="2"/>
      <c r="P1791" s="2"/>
    </row>
    <row r="1792" spans="1:16" x14ac:dyDescent="0.25">
      <c r="A1792" s="2"/>
      <c r="B1792" s="2"/>
      <c r="F1792" s="1"/>
      <c r="G1792" s="1"/>
      <c r="I1792" s="1"/>
      <c r="J1792" s="1"/>
      <c r="L1792" s="1"/>
      <c r="M1792" s="1"/>
      <c r="O1792" s="2"/>
      <c r="P1792" s="2"/>
    </row>
    <row r="1793" spans="1:16" x14ac:dyDescent="0.25">
      <c r="A1793" s="2"/>
      <c r="B1793" s="2"/>
      <c r="F1793" s="1"/>
      <c r="G1793" s="1"/>
      <c r="I1793" s="1"/>
      <c r="J1793" s="1"/>
      <c r="L1793" s="1"/>
      <c r="M1793" s="1"/>
      <c r="O1793" s="2"/>
      <c r="P1793" s="2"/>
    </row>
    <row r="1794" spans="1:16" x14ac:dyDescent="0.25">
      <c r="A1794" s="2"/>
      <c r="B1794" s="2"/>
      <c r="F1794" s="1"/>
      <c r="G1794" s="1"/>
      <c r="I1794" s="1"/>
      <c r="J1794" s="1"/>
      <c r="L1794" s="1"/>
      <c r="M1794" s="1"/>
      <c r="O1794" s="2"/>
      <c r="P1794" s="2"/>
    </row>
    <row r="1795" spans="1:16" x14ac:dyDescent="0.25">
      <c r="A1795" s="2"/>
      <c r="B1795" s="2"/>
      <c r="F1795" s="1"/>
      <c r="G1795" s="1"/>
      <c r="I1795" s="1"/>
      <c r="J1795" s="1"/>
      <c r="L1795" s="1"/>
      <c r="M1795" s="1"/>
      <c r="O1795" s="2"/>
      <c r="P1795" s="2"/>
    </row>
    <row r="1796" spans="1:16" x14ac:dyDescent="0.25">
      <c r="A1796" s="2"/>
      <c r="B1796" s="2"/>
      <c r="F1796" s="1"/>
      <c r="G1796" s="1"/>
      <c r="I1796" s="1"/>
      <c r="J1796" s="1"/>
      <c r="L1796" s="1"/>
      <c r="M1796" s="1"/>
      <c r="O1796" s="2"/>
      <c r="P1796" s="2"/>
    </row>
    <row r="1797" spans="1:16" x14ac:dyDescent="0.25">
      <c r="A1797" s="2"/>
      <c r="B1797" s="2"/>
      <c r="F1797" s="1"/>
      <c r="G1797" s="1"/>
      <c r="I1797" s="1"/>
      <c r="J1797" s="1"/>
      <c r="L1797" s="1"/>
      <c r="M1797" s="1"/>
      <c r="O1797" s="2"/>
      <c r="P1797" s="2"/>
    </row>
    <row r="1798" spans="1:16" x14ac:dyDescent="0.25">
      <c r="A1798" s="2"/>
      <c r="B1798" s="2"/>
      <c r="F1798" s="1"/>
      <c r="G1798" s="1"/>
      <c r="I1798" s="1"/>
      <c r="J1798" s="1"/>
      <c r="L1798" s="1"/>
      <c r="M1798" s="1"/>
      <c r="O1798" s="2"/>
      <c r="P1798" s="2"/>
    </row>
    <row r="1799" spans="1:16" x14ac:dyDescent="0.25">
      <c r="A1799" s="2"/>
      <c r="B1799" s="2"/>
      <c r="F1799" s="1"/>
      <c r="G1799" s="1"/>
      <c r="I1799" s="1"/>
      <c r="J1799" s="1"/>
      <c r="L1799" s="1"/>
      <c r="M1799" s="1"/>
      <c r="O1799" s="2"/>
      <c r="P1799" s="2"/>
    </row>
    <row r="1800" spans="1:16" x14ac:dyDescent="0.25">
      <c r="A1800" s="2"/>
      <c r="B1800" s="2"/>
      <c r="F1800" s="1"/>
      <c r="G1800" s="1"/>
      <c r="I1800" s="1"/>
      <c r="J1800" s="1"/>
      <c r="L1800" s="1"/>
      <c r="M1800" s="1"/>
      <c r="O1800" s="2"/>
      <c r="P1800" s="2"/>
    </row>
    <row r="1801" spans="1:16" x14ac:dyDescent="0.25">
      <c r="A1801" s="2"/>
      <c r="B1801" s="2"/>
      <c r="F1801" s="1"/>
      <c r="G1801" s="1"/>
      <c r="I1801" s="1"/>
      <c r="J1801" s="1"/>
      <c r="L1801" s="1"/>
      <c r="M1801" s="1"/>
      <c r="O1801" s="2"/>
      <c r="P1801" s="2"/>
    </row>
    <row r="1802" spans="1:16" x14ac:dyDescent="0.25">
      <c r="A1802" s="2"/>
      <c r="B1802" s="2"/>
      <c r="F1802" s="1"/>
      <c r="G1802" s="1"/>
      <c r="I1802" s="1"/>
      <c r="J1802" s="1"/>
      <c r="L1802" s="1"/>
      <c r="M1802" s="1"/>
      <c r="O1802" s="2"/>
      <c r="P1802" s="2"/>
    </row>
    <row r="1803" spans="1:16" x14ac:dyDescent="0.25">
      <c r="A1803" s="2"/>
      <c r="B1803" s="2"/>
      <c r="F1803" s="1"/>
      <c r="G1803" s="1"/>
      <c r="I1803" s="1"/>
      <c r="J1803" s="1"/>
      <c r="L1803" s="1"/>
      <c r="M1803" s="1"/>
      <c r="O1803" s="2"/>
      <c r="P1803" s="2"/>
    </row>
    <row r="1804" spans="1:16" x14ac:dyDescent="0.25">
      <c r="A1804" s="2"/>
      <c r="B1804" s="2"/>
      <c r="F1804" s="1"/>
      <c r="G1804" s="1"/>
      <c r="I1804" s="1"/>
      <c r="J1804" s="1"/>
      <c r="L1804" s="1"/>
      <c r="M1804" s="1"/>
      <c r="O1804" s="2"/>
      <c r="P1804" s="2"/>
    </row>
    <row r="1805" spans="1:16" x14ac:dyDescent="0.25">
      <c r="A1805" s="2"/>
      <c r="B1805" s="2"/>
      <c r="F1805" s="1"/>
      <c r="G1805" s="1"/>
      <c r="I1805" s="1"/>
      <c r="J1805" s="1"/>
      <c r="L1805" s="1"/>
      <c r="M1805" s="1"/>
      <c r="O1805" s="2"/>
      <c r="P1805" s="2"/>
    </row>
    <row r="1806" spans="1:16" x14ac:dyDescent="0.25">
      <c r="A1806" s="2"/>
      <c r="B1806" s="2"/>
      <c r="F1806" s="1"/>
      <c r="G1806" s="1"/>
      <c r="I1806" s="1"/>
      <c r="J1806" s="1"/>
      <c r="L1806" s="1"/>
      <c r="M1806" s="1"/>
      <c r="O1806" s="2"/>
      <c r="P1806" s="2"/>
    </row>
    <row r="1807" spans="1:16" x14ac:dyDescent="0.25">
      <c r="A1807" s="2"/>
      <c r="B1807" s="2"/>
      <c r="F1807" s="1"/>
      <c r="G1807" s="1"/>
      <c r="I1807" s="1"/>
      <c r="J1807" s="1"/>
      <c r="L1807" s="1"/>
      <c r="M1807" s="1"/>
      <c r="O1807" s="2"/>
      <c r="P1807" s="2"/>
    </row>
    <row r="1808" spans="1:16" x14ac:dyDescent="0.25">
      <c r="A1808" s="2"/>
      <c r="B1808" s="2"/>
      <c r="F1808" s="1"/>
      <c r="G1808" s="1"/>
      <c r="I1808" s="1"/>
      <c r="J1808" s="1"/>
      <c r="L1808" s="1"/>
      <c r="M1808" s="1"/>
      <c r="O1808" s="2"/>
      <c r="P1808" s="2"/>
    </row>
    <row r="1809" spans="1:16" x14ac:dyDescent="0.25">
      <c r="A1809" s="2"/>
      <c r="B1809" s="2"/>
      <c r="F1809" s="1"/>
      <c r="G1809" s="1"/>
      <c r="I1809" s="1"/>
      <c r="J1809" s="1"/>
      <c r="L1809" s="1"/>
      <c r="M1809" s="1"/>
      <c r="O1809" s="2"/>
      <c r="P1809" s="2"/>
    </row>
    <row r="1810" spans="1:16" x14ac:dyDescent="0.25">
      <c r="A1810" s="2"/>
      <c r="B1810" s="2"/>
      <c r="F1810" s="1"/>
      <c r="G1810" s="1"/>
      <c r="I1810" s="1"/>
      <c r="J1810" s="1"/>
      <c r="L1810" s="1"/>
      <c r="M1810" s="1"/>
      <c r="O1810" s="2"/>
      <c r="P1810" s="2"/>
    </row>
    <row r="1811" spans="1:16" x14ac:dyDescent="0.25">
      <c r="A1811" s="2"/>
      <c r="B1811" s="2"/>
      <c r="F1811" s="1"/>
      <c r="G1811" s="1"/>
      <c r="I1811" s="1"/>
      <c r="J1811" s="1"/>
      <c r="L1811" s="1"/>
      <c r="M1811" s="1"/>
      <c r="O1811" s="2"/>
      <c r="P1811" s="2"/>
    </row>
    <row r="1812" spans="1:16" x14ac:dyDescent="0.25">
      <c r="A1812" s="2"/>
      <c r="B1812" s="2"/>
      <c r="F1812" s="1"/>
      <c r="G1812" s="1"/>
      <c r="I1812" s="1"/>
      <c r="J1812" s="1"/>
      <c r="L1812" s="1"/>
      <c r="M1812" s="1"/>
      <c r="O1812" s="2"/>
      <c r="P1812" s="2"/>
    </row>
    <row r="1813" spans="1:16" x14ac:dyDescent="0.25">
      <c r="A1813" s="2"/>
      <c r="B1813" s="2"/>
      <c r="F1813" s="1"/>
      <c r="G1813" s="1"/>
      <c r="I1813" s="1"/>
      <c r="J1813" s="1"/>
      <c r="L1813" s="1"/>
      <c r="M1813" s="1"/>
      <c r="O1813" s="2"/>
      <c r="P1813" s="2"/>
    </row>
    <row r="1814" spans="1:16" x14ac:dyDescent="0.25">
      <c r="A1814" s="2"/>
      <c r="B1814" s="2"/>
      <c r="F1814" s="1"/>
      <c r="G1814" s="1"/>
      <c r="I1814" s="1"/>
      <c r="J1814" s="1"/>
      <c r="L1814" s="1"/>
      <c r="M1814" s="1"/>
      <c r="O1814" s="2"/>
      <c r="P1814" s="2"/>
    </row>
    <row r="1815" spans="1:16" x14ac:dyDescent="0.25">
      <c r="A1815" s="2"/>
      <c r="B1815" s="2"/>
      <c r="F1815" s="1"/>
      <c r="G1815" s="1"/>
      <c r="I1815" s="1"/>
      <c r="J1815" s="1"/>
      <c r="L1815" s="1"/>
      <c r="M1815" s="1"/>
      <c r="O1815" s="2"/>
      <c r="P1815" s="2"/>
    </row>
    <row r="1816" spans="1:16" x14ac:dyDescent="0.25">
      <c r="A1816" s="2"/>
      <c r="B1816" s="2"/>
      <c r="F1816" s="1"/>
      <c r="G1816" s="1"/>
      <c r="I1816" s="1"/>
      <c r="J1816" s="1"/>
      <c r="L1816" s="1"/>
      <c r="M1816" s="1"/>
      <c r="O1816" s="2"/>
      <c r="P1816" s="2"/>
    </row>
    <row r="1817" spans="1:16" x14ac:dyDescent="0.25">
      <c r="A1817" s="2"/>
      <c r="B1817" s="2"/>
      <c r="F1817" s="1"/>
      <c r="G1817" s="1"/>
      <c r="I1817" s="1"/>
      <c r="J1817" s="1"/>
      <c r="L1817" s="1"/>
      <c r="M1817" s="1"/>
      <c r="O1817" s="2"/>
      <c r="P1817" s="2"/>
    </row>
    <row r="1818" spans="1:16" x14ac:dyDescent="0.25">
      <c r="A1818" s="2"/>
      <c r="B1818" s="2"/>
      <c r="F1818" s="1"/>
      <c r="G1818" s="1"/>
      <c r="I1818" s="1"/>
      <c r="J1818" s="1"/>
      <c r="L1818" s="1"/>
      <c r="M1818" s="1"/>
      <c r="O1818" s="2"/>
      <c r="P1818" s="2"/>
    </row>
    <row r="1819" spans="1:16" x14ac:dyDescent="0.25">
      <c r="A1819" s="2"/>
      <c r="B1819" s="2"/>
      <c r="F1819" s="1"/>
      <c r="G1819" s="1"/>
      <c r="I1819" s="1"/>
      <c r="J1819" s="1"/>
      <c r="L1819" s="1"/>
      <c r="M1819" s="1"/>
      <c r="O1819" s="2"/>
      <c r="P1819" s="2"/>
    </row>
    <row r="1820" spans="1:16" x14ac:dyDescent="0.25">
      <c r="A1820" s="2"/>
      <c r="B1820" s="2"/>
      <c r="F1820" s="1"/>
      <c r="G1820" s="1"/>
      <c r="I1820" s="1"/>
      <c r="J1820" s="1"/>
      <c r="L1820" s="1"/>
      <c r="M1820" s="1"/>
      <c r="O1820" s="2"/>
      <c r="P1820" s="2"/>
    </row>
    <row r="1821" spans="1:16" x14ac:dyDescent="0.25">
      <c r="A1821" s="2"/>
      <c r="B1821" s="2"/>
      <c r="F1821" s="1"/>
      <c r="G1821" s="1"/>
      <c r="I1821" s="1"/>
      <c r="J1821" s="1"/>
      <c r="L1821" s="1"/>
      <c r="M1821" s="1"/>
      <c r="O1821" s="2"/>
      <c r="P1821" s="2"/>
    </row>
    <row r="1822" spans="1:16" x14ac:dyDescent="0.25">
      <c r="A1822" s="2"/>
      <c r="B1822" s="2"/>
      <c r="F1822" s="1"/>
      <c r="G1822" s="1"/>
      <c r="I1822" s="1"/>
      <c r="J1822" s="1"/>
      <c r="L1822" s="1"/>
      <c r="M1822" s="1"/>
      <c r="O1822" s="2"/>
      <c r="P1822" s="2"/>
    </row>
    <row r="1823" spans="1:16" x14ac:dyDescent="0.25">
      <c r="A1823" s="2"/>
      <c r="B1823" s="2"/>
      <c r="F1823" s="1"/>
      <c r="G1823" s="1"/>
      <c r="I1823" s="1"/>
      <c r="J1823" s="1"/>
      <c r="L1823" s="1"/>
      <c r="M1823" s="1"/>
      <c r="O1823" s="2"/>
      <c r="P1823" s="2"/>
    </row>
    <row r="1824" spans="1:16" x14ac:dyDescent="0.25">
      <c r="A1824" s="2"/>
      <c r="B1824" s="2"/>
      <c r="F1824" s="1"/>
      <c r="G1824" s="1"/>
      <c r="I1824" s="1"/>
      <c r="J1824" s="1"/>
      <c r="L1824" s="1"/>
      <c r="M1824" s="1"/>
      <c r="O1824" s="2"/>
      <c r="P1824" s="2"/>
    </row>
    <row r="1825" spans="1:16" x14ac:dyDescent="0.25">
      <c r="A1825" s="2"/>
      <c r="B1825" s="2"/>
      <c r="F1825" s="1"/>
      <c r="G1825" s="1"/>
      <c r="I1825" s="1"/>
      <c r="J1825" s="1"/>
      <c r="L1825" s="1"/>
      <c r="M1825" s="1"/>
      <c r="O1825" s="2"/>
      <c r="P1825" s="2"/>
    </row>
    <row r="1826" spans="1:16" x14ac:dyDescent="0.25">
      <c r="A1826" s="2"/>
      <c r="B1826" s="2"/>
      <c r="F1826" s="1"/>
      <c r="G1826" s="1"/>
      <c r="I1826" s="1"/>
      <c r="J1826" s="1"/>
      <c r="L1826" s="1"/>
      <c r="M1826" s="1"/>
      <c r="O1826" s="2"/>
      <c r="P1826" s="2"/>
    </row>
    <row r="1827" spans="1:16" x14ac:dyDescent="0.25">
      <c r="A1827" s="2"/>
      <c r="B1827" s="2"/>
      <c r="F1827" s="1"/>
      <c r="G1827" s="1"/>
      <c r="I1827" s="1"/>
      <c r="J1827" s="1"/>
      <c r="L1827" s="1"/>
      <c r="M1827" s="1"/>
      <c r="O1827" s="2"/>
      <c r="P1827" s="2"/>
    </row>
    <row r="1828" spans="1:16" x14ac:dyDescent="0.25">
      <c r="A1828" s="2"/>
      <c r="B1828" s="2"/>
      <c r="F1828" s="1"/>
      <c r="G1828" s="1"/>
      <c r="I1828" s="1"/>
      <c r="J1828" s="1"/>
      <c r="L1828" s="1"/>
      <c r="M1828" s="1"/>
      <c r="O1828" s="2"/>
      <c r="P1828" s="2"/>
    </row>
    <row r="1829" spans="1:16" x14ac:dyDescent="0.25">
      <c r="A1829" s="2"/>
      <c r="B1829" s="2"/>
      <c r="F1829" s="1"/>
      <c r="G1829" s="1"/>
      <c r="I1829" s="1"/>
      <c r="J1829" s="1"/>
      <c r="L1829" s="1"/>
      <c r="M1829" s="1"/>
      <c r="O1829" s="2"/>
      <c r="P1829" s="2"/>
    </row>
    <row r="1830" spans="1:16" x14ac:dyDescent="0.25">
      <c r="A1830" s="2"/>
      <c r="B1830" s="2"/>
      <c r="F1830" s="1"/>
      <c r="G1830" s="1"/>
      <c r="I1830" s="1"/>
      <c r="J1830" s="1"/>
      <c r="L1830" s="1"/>
      <c r="M1830" s="1"/>
      <c r="O1830" s="2"/>
      <c r="P1830" s="2"/>
    </row>
    <row r="1831" spans="1:16" x14ac:dyDescent="0.25">
      <c r="A1831" s="2"/>
      <c r="B1831" s="2"/>
      <c r="F1831" s="1"/>
      <c r="G1831" s="1"/>
      <c r="I1831" s="1"/>
      <c r="J1831" s="1"/>
      <c r="L1831" s="1"/>
      <c r="M1831" s="1"/>
      <c r="O1831" s="2"/>
      <c r="P1831" s="2"/>
    </row>
    <row r="1832" spans="1:16" x14ac:dyDescent="0.25">
      <c r="A1832" s="2"/>
      <c r="B1832" s="2"/>
      <c r="F1832" s="1"/>
      <c r="G1832" s="1"/>
      <c r="I1832" s="1"/>
      <c r="J1832" s="1"/>
      <c r="L1832" s="1"/>
      <c r="M1832" s="1"/>
      <c r="O1832" s="2"/>
      <c r="P1832" s="2"/>
    </row>
    <row r="1833" spans="1:16" x14ac:dyDescent="0.25">
      <c r="A1833" s="2"/>
      <c r="B1833" s="2"/>
      <c r="F1833" s="1"/>
      <c r="G1833" s="1"/>
      <c r="I1833" s="1"/>
      <c r="J1833" s="1"/>
      <c r="L1833" s="1"/>
      <c r="M1833" s="1"/>
      <c r="O1833" s="2"/>
      <c r="P1833" s="2"/>
    </row>
    <row r="1834" spans="1:16" x14ac:dyDescent="0.25">
      <c r="A1834" s="2"/>
      <c r="B1834" s="2"/>
      <c r="F1834" s="1"/>
      <c r="G1834" s="1"/>
      <c r="I1834" s="1"/>
      <c r="J1834" s="1"/>
      <c r="L1834" s="1"/>
      <c r="M1834" s="1"/>
      <c r="O1834" s="2"/>
      <c r="P1834" s="2"/>
    </row>
    <row r="1835" spans="1:16" x14ac:dyDescent="0.25">
      <c r="A1835" s="2"/>
      <c r="B1835" s="2"/>
      <c r="F1835" s="1"/>
      <c r="G1835" s="1"/>
      <c r="I1835" s="1"/>
      <c r="J1835" s="1"/>
      <c r="L1835" s="1"/>
      <c r="M1835" s="1"/>
      <c r="O1835" s="2"/>
      <c r="P1835" s="2"/>
    </row>
    <row r="1836" spans="1:16" x14ac:dyDescent="0.25">
      <c r="A1836" s="2"/>
      <c r="B1836" s="2"/>
      <c r="F1836" s="1"/>
      <c r="G1836" s="1"/>
      <c r="I1836" s="1"/>
      <c r="J1836" s="1"/>
      <c r="L1836" s="1"/>
      <c r="M1836" s="1"/>
      <c r="O1836" s="2"/>
      <c r="P1836" s="2"/>
    </row>
    <row r="1837" spans="1:16" x14ac:dyDescent="0.25">
      <c r="A1837" s="2"/>
      <c r="B1837" s="2"/>
      <c r="F1837" s="1"/>
      <c r="G1837" s="1"/>
      <c r="I1837" s="1"/>
      <c r="J1837" s="1"/>
      <c r="L1837" s="1"/>
      <c r="M1837" s="1"/>
      <c r="O1837" s="2"/>
      <c r="P1837" s="2"/>
    </row>
    <row r="1838" spans="1:16" x14ac:dyDescent="0.25">
      <c r="A1838" s="2"/>
      <c r="B1838" s="2"/>
      <c r="F1838" s="1"/>
      <c r="G1838" s="1"/>
      <c r="I1838" s="1"/>
      <c r="J1838" s="1"/>
      <c r="L1838" s="1"/>
      <c r="M1838" s="1"/>
      <c r="O1838" s="2"/>
      <c r="P1838" s="2"/>
    </row>
    <row r="1839" spans="1:16" x14ac:dyDescent="0.25">
      <c r="A1839" s="2"/>
      <c r="B1839" s="2"/>
      <c r="F1839" s="1"/>
      <c r="G1839" s="1"/>
      <c r="I1839" s="1"/>
      <c r="J1839" s="1"/>
      <c r="L1839" s="1"/>
      <c r="M1839" s="1"/>
      <c r="O1839" s="2"/>
      <c r="P1839" s="2"/>
    </row>
    <row r="1840" spans="1:16" x14ac:dyDescent="0.25">
      <c r="A1840" s="2"/>
      <c r="B1840" s="2"/>
      <c r="F1840" s="1"/>
      <c r="G1840" s="1"/>
      <c r="I1840" s="1"/>
      <c r="J1840" s="1"/>
      <c r="L1840" s="1"/>
      <c r="M1840" s="1"/>
      <c r="O1840" s="2"/>
      <c r="P1840" s="2"/>
    </row>
    <row r="1841" spans="1:16" x14ac:dyDescent="0.25">
      <c r="A1841" s="2"/>
      <c r="B1841" s="2"/>
      <c r="F1841" s="1"/>
      <c r="G1841" s="1"/>
      <c r="I1841" s="1"/>
      <c r="J1841" s="1"/>
      <c r="L1841" s="1"/>
      <c r="M1841" s="1"/>
      <c r="O1841" s="2"/>
      <c r="P1841" s="2"/>
    </row>
    <row r="1842" spans="1:16" x14ac:dyDescent="0.25">
      <c r="A1842" s="2"/>
      <c r="B1842" s="2"/>
      <c r="F1842" s="1"/>
      <c r="G1842" s="1"/>
      <c r="I1842" s="1"/>
      <c r="J1842" s="1"/>
      <c r="L1842" s="1"/>
      <c r="M1842" s="1"/>
      <c r="O1842" s="2"/>
      <c r="P1842" s="2"/>
    </row>
    <row r="1843" spans="1:16" x14ac:dyDescent="0.25">
      <c r="A1843" s="2"/>
      <c r="B1843" s="2"/>
      <c r="F1843" s="1"/>
      <c r="G1843" s="1"/>
      <c r="I1843" s="1"/>
      <c r="J1843" s="1"/>
      <c r="L1843" s="1"/>
      <c r="M1843" s="1"/>
      <c r="O1843" s="2"/>
      <c r="P1843" s="2"/>
    </row>
    <row r="1844" spans="1:16" x14ac:dyDescent="0.25">
      <c r="A1844" s="2"/>
      <c r="B1844" s="2"/>
      <c r="F1844" s="1"/>
      <c r="G1844" s="1"/>
      <c r="I1844" s="1"/>
      <c r="J1844" s="1"/>
      <c r="L1844" s="1"/>
      <c r="M1844" s="1"/>
      <c r="O1844" s="2"/>
      <c r="P1844" s="2"/>
    </row>
    <row r="1845" spans="1:16" x14ac:dyDescent="0.25">
      <c r="A1845" s="2"/>
      <c r="B1845" s="2"/>
      <c r="F1845" s="1"/>
      <c r="G1845" s="1"/>
      <c r="I1845" s="1"/>
      <c r="J1845" s="1"/>
      <c r="L1845" s="1"/>
      <c r="M1845" s="1"/>
      <c r="O1845" s="2"/>
      <c r="P1845" s="2"/>
    </row>
    <row r="1846" spans="1:16" x14ac:dyDescent="0.25">
      <c r="A1846" s="2"/>
      <c r="B1846" s="2"/>
      <c r="F1846" s="1"/>
      <c r="G1846" s="1"/>
      <c r="I1846" s="1"/>
      <c r="J1846" s="1"/>
      <c r="L1846" s="1"/>
      <c r="M1846" s="1"/>
      <c r="O1846" s="2"/>
      <c r="P1846" s="2"/>
    </row>
    <row r="1847" spans="1:16" x14ac:dyDescent="0.25">
      <c r="A1847" s="2"/>
      <c r="B1847" s="2"/>
      <c r="F1847" s="1"/>
      <c r="G1847" s="1"/>
      <c r="I1847" s="1"/>
      <c r="J1847" s="1"/>
      <c r="L1847" s="1"/>
      <c r="M1847" s="1"/>
      <c r="O1847" s="2"/>
      <c r="P1847" s="2"/>
    </row>
    <row r="1848" spans="1:16" x14ac:dyDescent="0.25">
      <c r="A1848" s="2"/>
      <c r="B1848" s="2"/>
      <c r="F1848" s="1"/>
      <c r="G1848" s="1"/>
      <c r="I1848" s="1"/>
      <c r="J1848" s="1"/>
      <c r="L1848" s="1"/>
      <c r="M1848" s="1"/>
      <c r="O1848" s="2"/>
      <c r="P1848" s="2"/>
    </row>
    <row r="1849" spans="1:16" x14ac:dyDescent="0.25">
      <c r="A1849" s="2"/>
      <c r="B1849" s="2"/>
      <c r="F1849" s="1"/>
      <c r="G1849" s="1"/>
      <c r="I1849" s="1"/>
      <c r="J1849" s="1"/>
      <c r="L1849" s="1"/>
      <c r="M1849" s="1"/>
      <c r="O1849" s="2"/>
      <c r="P1849" s="2"/>
    </row>
    <row r="1850" spans="1:16" x14ac:dyDescent="0.25">
      <c r="A1850" s="2"/>
      <c r="B1850" s="2"/>
      <c r="F1850" s="1"/>
      <c r="G1850" s="1"/>
      <c r="I1850" s="1"/>
      <c r="J1850" s="1"/>
      <c r="L1850" s="1"/>
      <c r="M1850" s="1"/>
      <c r="O1850" s="2"/>
      <c r="P1850" s="2"/>
    </row>
    <row r="1851" spans="1:16" x14ac:dyDescent="0.25">
      <c r="A1851" s="2"/>
      <c r="B1851" s="2"/>
      <c r="F1851" s="1"/>
      <c r="G1851" s="1"/>
      <c r="I1851" s="1"/>
      <c r="J1851" s="1"/>
      <c r="L1851" s="1"/>
      <c r="M1851" s="1"/>
      <c r="O1851" s="2"/>
      <c r="P1851" s="2"/>
    </row>
    <row r="1852" spans="1:16" x14ac:dyDescent="0.25">
      <c r="A1852" s="2"/>
      <c r="B1852" s="2"/>
      <c r="F1852" s="1"/>
      <c r="G1852" s="1"/>
      <c r="I1852" s="1"/>
      <c r="J1852" s="1"/>
      <c r="L1852" s="1"/>
      <c r="M1852" s="1"/>
      <c r="O1852" s="2"/>
      <c r="P1852" s="2"/>
    </row>
    <row r="1853" spans="1:16" x14ac:dyDescent="0.25">
      <c r="A1853" s="2"/>
      <c r="B1853" s="2"/>
      <c r="F1853" s="1"/>
      <c r="G1853" s="1"/>
      <c r="I1853" s="1"/>
      <c r="J1853" s="1"/>
      <c r="L1853" s="1"/>
      <c r="M1853" s="1"/>
      <c r="O1853" s="2"/>
      <c r="P1853" s="2"/>
    </row>
    <row r="1854" spans="1:16" x14ac:dyDescent="0.25">
      <c r="A1854" s="2"/>
      <c r="B1854" s="2"/>
      <c r="F1854" s="1"/>
      <c r="G1854" s="1"/>
      <c r="I1854" s="1"/>
      <c r="J1854" s="1"/>
      <c r="L1854" s="1"/>
      <c r="M1854" s="1"/>
      <c r="O1854" s="2"/>
      <c r="P1854" s="2"/>
    </row>
    <row r="1855" spans="1:16" x14ac:dyDescent="0.25">
      <c r="A1855" s="2"/>
      <c r="B1855" s="2"/>
      <c r="F1855" s="1"/>
      <c r="G1855" s="1"/>
      <c r="I1855" s="1"/>
      <c r="J1855" s="1"/>
      <c r="L1855" s="1"/>
      <c r="M1855" s="1"/>
      <c r="O1855" s="2"/>
      <c r="P1855" s="2"/>
    </row>
    <row r="1856" spans="1:16" x14ac:dyDescent="0.25">
      <c r="A1856" s="2"/>
      <c r="B1856" s="2"/>
      <c r="F1856" s="1"/>
      <c r="G1856" s="1"/>
      <c r="I1856" s="1"/>
      <c r="J1856" s="1"/>
      <c r="L1856" s="1"/>
      <c r="M1856" s="1"/>
      <c r="O1856" s="2"/>
      <c r="P1856" s="2"/>
    </row>
    <row r="1857" spans="1:16" x14ac:dyDescent="0.25">
      <c r="A1857" s="2"/>
      <c r="B1857" s="2"/>
      <c r="F1857" s="1"/>
      <c r="G1857" s="1"/>
      <c r="I1857" s="1"/>
      <c r="J1857" s="1"/>
      <c r="L1857" s="1"/>
      <c r="M1857" s="1"/>
      <c r="O1857" s="2"/>
      <c r="P1857" s="2"/>
    </row>
    <row r="1858" spans="1:16" x14ac:dyDescent="0.25">
      <c r="A1858" s="2"/>
      <c r="B1858" s="2"/>
      <c r="F1858" s="1"/>
      <c r="G1858" s="1"/>
      <c r="I1858" s="1"/>
      <c r="J1858" s="1"/>
      <c r="L1858" s="1"/>
      <c r="M1858" s="1"/>
      <c r="O1858" s="2"/>
      <c r="P1858" s="2"/>
    </row>
    <row r="1859" spans="1:16" x14ac:dyDescent="0.25">
      <c r="A1859" s="2"/>
      <c r="B1859" s="2"/>
      <c r="F1859" s="1"/>
      <c r="G1859" s="1"/>
      <c r="I1859" s="1"/>
      <c r="J1859" s="1"/>
      <c r="L1859" s="1"/>
      <c r="M1859" s="1"/>
      <c r="O1859" s="2"/>
      <c r="P1859" s="2"/>
    </row>
    <row r="1860" spans="1:16" x14ac:dyDescent="0.25">
      <c r="A1860" s="2"/>
      <c r="B1860" s="2"/>
      <c r="F1860" s="1"/>
      <c r="G1860" s="1"/>
      <c r="I1860" s="1"/>
      <c r="J1860" s="1"/>
      <c r="L1860" s="1"/>
      <c r="M1860" s="1"/>
      <c r="O1860" s="2"/>
      <c r="P1860" s="2"/>
    </row>
    <row r="1861" spans="1:16" x14ac:dyDescent="0.25">
      <c r="A1861" s="2"/>
      <c r="B1861" s="2"/>
      <c r="F1861" s="1"/>
      <c r="G1861" s="1"/>
      <c r="I1861" s="1"/>
      <c r="J1861" s="1"/>
      <c r="L1861" s="1"/>
      <c r="M1861" s="1"/>
      <c r="O1861" s="2"/>
      <c r="P1861" s="2"/>
    </row>
    <row r="1862" spans="1:16" x14ac:dyDescent="0.25">
      <c r="A1862" s="2"/>
      <c r="B1862" s="2"/>
      <c r="F1862" s="1"/>
      <c r="G1862" s="1"/>
      <c r="I1862" s="1"/>
      <c r="J1862" s="1"/>
      <c r="L1862" s="1"/>
      <c r="M1862" s="1"/>
      <c r="O1862" s="2"/>
      <c r="P1862" s="2"/>
    </row>
    <row r="1863" spans="1:16" x14ac:dyDescent="0.25">
      <c r="A1863" s="2"/>
      <c r="B1863" s="2"/>
      <c r="F1863" s="1"/>
      <c r="G1863" s="1"/>
      <c r="I1863" s="1"/>
      <c r="J1863" s="1"/>
      <c r="L1863" s="1"/>
      <c r="M1863" s="1"/>
      <c r="O1863" s="2"/>
      <c r="P1863" s="2"/>
    </row>
    <row r="1864" spans="1:16" x14ac:dyDescent="0.25">
      <c r="A1864" s="2"/>
      <c r="B1864" s="2"/>
      <c r="F1864" s="1"/>
      <c r="G1864" s="1"/>
      <c r="I1864" s="1"/>
      <c r="J1864" s="1"/>
      <c r="L1864" s="1"/>
      <c r="M1864" s="1"/>
      <c r="O1864" s="2"/>
      <c r="P1864" s="2"/>
    </row>
    <row r="1865" spans="1:16" x14ac:dyDescent="0.25">
      <c r="A1865" s="2"/>
      <c r="B1865" s="2"/>
      <c r="F1865" s="1"/>
      <c r="G1865" s="1"/>
      <c r="I1865" s="1"/>
      <c r="J1865" s="1"/>
      <c r="L1865" s="1"/>
      <c r="M1865" s="1"/>
      <c r="O1865" s="2"/>
      <c r="P1865" s="2"/>
    </row>
    <row r="1866" spans="1:16" x14ac:dyDescent="0.25">
      <c r="A1866" s="2"/>
      <c r="B1866" s="2"/>
      <c r="F1866" s="1"/>
      <c r="G1866" s="1"/>
      <c r="I1866" s="1"/>
      <c r="J1866" s="1"/>
      <c r="L1866" s="1"/>
      <c r="M1866" s="1"/>
      <c r="O1866" s="2"/>
      <c r="P1866" s="2"/>
    </row>
    <row r="1867" spans="1:16" x14ac:dyDescent="0.25">
      <c r="A1867" s="2"/>
      <c r="B1867" s="2"/>
      <c r="F1867" s="1"/>
      <c r="G1867" s="1"/>
      <c r="I1867" s="1"/>
      <c r="J1867" s="1"/>
      <c r="L1867" s="1"/>
      <c r="M1867" s="1"/>
      <c r="O1867" s="2"/>
      <c r="P1867" s="2"/>
    </row>
    <row r="1868" spans="1:16" x14ac:dyDescent="0.25">
      <c r="A1868" s="2"/>
      <c r="B1868" s="2"/>
      <c r="F1868" s="1"/>
      <c r="G1868" s="1"/>
      <c r="I1868" s="1"/>
      <c r="J1868" s="1"/>
      <c r="L1868" s="1"/>
      <c r="M1868" s="1"/>
      <c r="O1868" s="2"/>
      <c r="P1868" s="2"/>
    </row>
    <row r="1869" spans="1:16" x14ac:dyDescent="0.25">
      <c r="A1869" s="2"/>
      <c r="B1869" s="2"/>
      <c r="F1869" s="1"/>
      <c r="G1869" s="1"/>
      <c r="I1869" s="1"/>
      <c r="J1869" s="1"/>
      <c r="L1869" s="1"/>
      <c r="M1869" s="1"/>
      <c r="O1869" s="2"/>
      <c r="P1869" s="2"/>
    </row>
    <row r="1870" spans="1:16" x14ac:dyDescent="0.25">
      <c r="A1870" s="2"/>
      <c r="B1870" s="2"/>
      <c r="F1870" s="1"/>
      <c r="G1870" s="1"/>
      <c r="I1870" s="1"/>
      <c r="J1870" s="1"/>
      <c r="L1870" s="1"/>
      <c r="M1870" s="1"/>
      <c r="O1870" s="2"/>
      <c r="P1870" s="2"/>
    </row>
    <row r="1871" spans="1:16" x14ac:dyDescent="0.25">
      <c r="A1871" s="2"/>
      <c r="B1871" s="2"/>
      <c r="F1871" s="1"/>
      <c r="G1871" s="1"/>
      <c r="I1871" s="1"/>
      <c r="J1871" s="1"/>
      <c r="L1871" s="1"/>
      <c r="M1871" s="1"/>
      <c r="O1871" s="2"/>
      <c r="P1871" s="2"/>
    </row>
    <row r="1872" spans="1:16" x14ac:dyDescent="0.25">
      <c r="A1872" s="2"/>
      <c r="B1872" s="2"/>
      <c r="F1872" s="1"/>
      <c r="G1872" s="1"/>
      <c r="I1872" s="1"/>
      <c r="J1872" s="1"/>
      <c r="L1872" s="1"/>
      <c r="M1872" s="1"/>
      <c r="O1872" s="2"/>
      <c r="P1872" s="2"/>
    </row>
    <row r="1873" spans="1:16" x14ac:dyDescent="0.25">
      <c r="A1873" s="2"/>
      <c r="B1873" s="2"/>
      <c r="F1873" s="1"/>
      <c r="G1873" s="1"/>
      <c r="I1873" s="1"/>
      <c r="J1873" s="1"/>
      <c r="L1873" s="1"/>
      <c r="M1873" s="1"/>
      <c r="O1873" s="2"/>
      <c r="P1873" s="2"/>
    </row>
    <row r="1874" spans="1:16" x14ac:dyDescent="0.25">
      <c r="A1874" s="2"/>
      <c r="B1874" s="2"/>
      <c r="F1874" s="1"/>
      <c r="G1874" s="1"/>
      <c r="I1874" s="1"/>
      <c r="J1874" s="1"/>
      <c r="L1874" s="1"/>
      <c r="M1874" s="1"/>
      <c r="O1874" s="2"/>
      <c r="P1874" s="2"/>
    </row>
    <row r="1875" spans="1:16" x14ac:dyDescent="0.25">
      <c r="A1875" s="2"/>
      <c r="B1875" s="2"/>
      <c r="F1875" s="1"/>
      <c r="G1875" s="1"/>
      <c r="I1875" s="1"/>
      <c r="J1875" s="1"/>
      <c r="L1875" s="1"/>
      <c r="M1875" s="1"/>
      <c r="O1875" s="2"/>
      <c r="P1875" s="2"/>
    </row>
    <row r="1876" spans="1:16" x14ac:dyDescent="0.25">
      <c r="A1876" s="2"/>
      <c r="B1876" s="2"/>
      <c r="F1876" s="1"/>
      <c r="G1876" s="1"/>
      <c r="I1876" s="1"/>
      <c r="J1876" s="1"/>
      <c r="L1876" s="1"/>
      <c r="M1876" s="1"/>
      <c r="O1876" s="2"/>
      <c r="P1876" s="2"/>
    </row>
    <row r="1877" spans="1:16" x14ac:dyDescent="0.25">
      <c r="A1877" s="2"/>
      <c r="B1877" s="2"/>
      <c r="F1877" s="1"/>
      <c r="G1877" s="1"/>
      <c r="I1877" s="1"/>
      <c r="J1877" s="1"/>
      <c r="L1877" s="1"/>
      <c r="M1877" s="1"/>
      <c r="O1877" s="2"/>
      <c r="P1877" s="2"/>
    </row>
    <row r="1878" spans="1:16" x14ac:dyDescent="0.25">
      <c r="A1878" s="2"/>
      <c r="B1878" s="2"/>
      <c r="F1878" s="1"/>
      <c r="G1878" s="1"/>
      <c r="I1878" s="1"/>
      <c r="J1878" s="1"/>
      <c r="L1878" s="1"/>
      <c r="M1878" s="1"/>
      <c r="O1878" s="2"/>
      <c r="P1878" s="2"/>
    </row>
    <row r="1879" spans="1:16" x14ac:dyDescent="0.25">
      <c r="A1879" s="2"/>
      <c r="B1879" s="2"/>
      <c r="F1879" s="1"/>
      <c r="G1879" s="1"/>
      <c r="I1879" s="1"/>
      <c r="J1879" s="1"/>
      <c r="L1879" s="1"/>
      <c r="M1879" s="1"/>
      <c r="O1879" s="2"/>
      <c r="P1879" s="2"/>
    </row>
    <row r="1880" spans="1:16" x14ac:dyDescent="0.25">
      <c r="A1880" s="2"/>
      <c r="B1880" s="2"/>
      <c r="F1880" s="1"/>
      <c r="G1880" s="1"/>
      <c r="I1880" s="1"/>
      <c r="J1880" s="1"/>
      <c r="L1880" s="1"/>
      <c r="M1880" s="1"/>
      <c r="O1880" s="2"/>
      <c r="P1880" s="2"/>
    </row>
    <row r="1881" spans="1:16" x14ac:dyDescent="0.25">
      <c r="A1881" s="2"/>
      <c r="B1881" s="2"/>
      <c r="F1881" s="1"/>
      <c r="G1881" s="1"/>
      <c r="I1881" s="1"/>
      <c r="J1881" s="1"/>
      <c r="L1881" s="1"/>
      <c r="M1881" s="1"/>
      <c r="O1881" s="2"/>
      <c r="P1881" s="2"/>
    </row>
    <row r="1882" spans="1:16" x14ac:dyDescent="0.25">
      <c r="A1882" s="2"/>
      <c r="B1882" s="2"/>
      <c r="F1882" s="1"/>
      <c r="G1882" s="1"/>
      <c r="I1882" s="1"/>
      <c r="J1882" s="1"/>
      <c r="L1882" s="1"/>
      <c r="M1882" s="1"/>
      <c r="O1882" s="2"/>
      <c r="P1882" s="2"/>
    </row>
    <row r="1883" spans="1:16" x14ac:dyDescent="0.25">
      <c r="A1883" s="2"/>
      <c r="B1883" s="2"/>
      <c r="F1883" s="1"/>
      <c r="G1883" s="1"/>
      <c r="I1883" s="1"/>
      <c r="J1883" s="1"/>
      <c r="L1883" s="1"/>
      <c r="M1883" s="1"/>
      <c r="O1883" s="2"/>
      <c r="P1883" s="2"/>
    </row>
    <row r="1884" spans="1:16" x14ac:dyDescent="0.25">
      <c r="A1884" s="2"/>
      <c r="B1884" s="2"/>
      <c r="F1884" s="1"/>
      <c r="G1884" s="1"/>
      <c r="I1884" s="1"/>
      <c r="J1884" s="1"/>
      <c r="L1884" s="1"/>
      <c r="M1884" s="1"/>
      <c r="O1884" s="2"/>
      <c r="P1884" s="2"/>
    </row>
    <row r="1885" spans="1:16" x14ac:dyDescent="0.25">
      <c r="A1885" s="2"/>
      <c r="B1885" s="2"/>
      <c r="F1885" s="1"/>
      <c r="G1885" s="1"/>
      <c r="I1885" s="1"/>
      <c r="J1885" s="1"/>
      <c r="L1885" s="1"/>
      <c r="M1885" s="1"/>
      <c r="O1885" s="2"/>
      <c r="P1885" s="2"/>
    </row>
    <row r="1886" spans="1:16" x14ac:dyDescent="0.25">
      <c r="A1886" s="2"/>
      <c r="B1886" s="2"/>
      <c r="F1886" s="1"/>
      <c r="G1886" s="1"/>
      <c r="I1886" s="1"/>
      <c r="J1886" s="1"/>
      <c r="L1886" s="1"/>
      <c r="M1886" s="1"/>
      <c r="O1886" s="2"/>
      <c r="P1886" s="2"/>
    </row>
    <row r="1887" spans="1:16" x14ac:dyDescent="0.25">
      <c r="A1887" s="2"/>
      <c r="B1887" s="2"/>
      <c r="F1887" s="1"/>
      <c r="G1887" s="1"/>
      <c r="I1887" s="1"/>
      <c r="J1887" s="1"/>
      <c r="L1887" s="1"/>
      <c r="M1887" s="1"/>
      <c r="O1887" s="2"/>
      <c r="P1887" s="2"/>
    </row>
    <row r="1888" spans="1:16" x14ac:dyDescent="0.25">
      <c r="A1888" s="2"/>
      <c r="B1888" s="2"/>
      <c r="F1888" s="1"/>
      <c r="G1888" s="1"/>
      <c r="I1888" s="1"/>
      <c r="J1888" s="1"/>
      <c r="L1888" s="1"/>
      <c r="M1888" s="1"/>
      <c r="O1888" s="2"/>
      <c r="P1888" s="2"/>
    </row>
    <row r="1889" spans="1:16" x14ac:dyDescent="0.25">
      <c r="A1889" s="2"/>
      <c r="B1889" s="2"/>
      <c r="F1889" s="1"/>
      <c r="G1889" s="1"/>
      <c r="I1889" s="1"/>
      <c r="J1889" s="1"/>
      <c r="L1889" s="1"/>
      <c r="M1889" s="1"/>
      <c r="O1889" s="2"/>
      <c r="P1889" s="2"/>
    </row>
    <row r="1890" spans="1:16" x14ac:dyDescent="0.25">
      <c r="A1890" s="2"/>
      <c r="B1890" s="2"/>
      <c r="F1890" s="1"/>
      <c r="G1890" s="1"/>
      <c r="I1890" s="1"/>
      <c r="J1890" s="1"/>
      <c r="L1890" s="1"/>
      <c r="M1890" s="1"/>
      <c r="O1890" s="2"/>
      <c r="P1890" s="2"/>
    </row>
    <row r="1891" spans="1:16" x14ac:dyDescent="0.25">
      <c r="A1891" s="2"/>
      <c r="B1891" s="2"/>
      <c r="F1891" s="1"/>
      <c r="G1891" s="1"/>
      <c r="I1891" s="1"/>
      <c r="J1891" s="1"/>
      <c r="L1891" s="1"/>
      <c r="M1891" s="1"/>
      <c r="O1891" s="2"/>
      <c r="P1891" s="2"/>
    </row>
    <row r="1892" spans="1:16" x14ac:dyDescent="0.25">
      <c r="A1892" s="2"/>
      <c r="B1892" s="2"/>
      <c r="F1892" s="1"/>
      <c r="G1892" s="1"/>
      <c r="I1892" s="1"/>
      <c r="J1892" s="1"/>
      <c r="L1892" s="1"/>
      <c r="M1892" s="1"/>
      <c r="O1892" s="2"/>
      <c r="P1892" s="2"/>
    </row>
    <row r="1893" spans="1:16" x14ac:dyDescent="0.25">
      <c r="A1893" s="2"/>
      <c r="B1893" s="2"/>
      <c r="F1893" s="1"/>
      <c r="G1893" s="1"/>
      <c r="I1893" s="1"/>
      <c r="J1893" s="1"/>
      <c r="L1893" s="1"/>
      <c r="M1893" s="1"/>
      <c r="O1893" s="2"/>
      <c r="P1893" s="2"/>
    </row>
    <row r="1894" spans="1:16" x14ac:dyDescent="0.25">
      <c r="A1894" s="2"/>
      <c r="B1894" s="2"/>
      <c r="F1894" s="1"/>
      <c r="G1894" s="1"/>
      <c r="I1894" s="1"/>
      <c r="J1894" s="1"/>
      <c r="L1894" s="1"/>
      <c r="M1894" s="1"/>
      <c r="O1894" s="2"/>
      <c r="P1894" s="2"/>
    </row>
    <row r="1895" spans="1:16" x14ac:dyDescent="0.25">
      <c r="A1895" s="2"/>
      <c r="B1895" s="2"/>
      <c r="F1895" s="1"/>
      <c r="G1895" s="1"/>
      <c r="I1895" s="1"/>
      <c r="J1895" s="1"/>
      <c r="L1895" s="1"/>
      <c r="M1895" s="1"/>
      <c r="O1895" s="2"/>
      <c r="P1895" s="2"/>
    </row>
    <row r="1896" spans="1:16" x14ac:dyDescent="0.25">
      <c r="A1896" s="2"/>
      <c r="B1896" s="2"/>
      <c r="F1896" s="1"/>
      <c r="G1896" s="1"/>
      <c r="I1896" s="1"/>
      <c r="J1896" s="1"/>
      <c r="L1896" s="1"/>
      <c r="M1896" s="1"/>
      <c r="O1896" s="2"/>
      <c r="P1896" s="2"/>
    </row>
    <row r="1897" spans="1:16" x14ac:dyDescent="0.25">
      <c r="A1897" s="2"/>
      <c r="B1897" s="2"/>
      <c r="F1897" s="1"/>
      <c r="G1897" s="1"/>
      <c r="I1897" s="1"/>
      <c r="J1897" s="1"/>
      <c r="L1897" s="1"/>
      <c r="M1897" s="1"/>
      <c r="O1897" s="2"/>
      <c r="P1897" s="2"/>
    </row>
    <row r="1898" spans="1:16" x14ac:dyDescent="0.25">
      <c r="A1898" s="2"/>
      <c r="B1898" s="2"/>
      <c r="F1898" s="1"/>
      <c r="G1898" s="1"/>
      <c r="I1898" s="1"/>
      <c r="J1898" s="1"/>
      <c r="L1898" s="1"/>
      <c r="M1898" s="1"/>
      <c r="O1898" s="2"/>
      <c r="P1898" s="2"/>
    </row>
    <row r="1899" spans="1:16" x14ac:dyDescent="0.25">
      <c r="A1899" s="2"/>
      <c r="B1899" s="2"/>
      <c r="F1899" s="1"/>
      <c r="G1899" s="1"/>
      <c r="I1899" s="1"/>
      <c r="J1899" s="1"/>
      <c r="L1899" s="1"/>
      <c r="M1899" s="1"/>
      <c r="O1899" s="2"/>
      <c r="P1899" s="2"/>
    </row>
    <row r="1900" spans="1:16" x14ac:dyDescent="0.25">
      <c r="A1900" s="2"/>
      <c r="B1900" s="2"/>
      <c r="F1900" s="1"/>
      <c r="G1900" s="1"/>
      <c r="I1900" s="1"/>
      <c r="J1900" s="1"/>
      <c r="L1900" s="1"/>
      <c r="M1900" s="1"/>
      <c r="O1900" s="2"/>
      <c r="P1900" s="2"/>
    </row>
    <row r="1901" spans="1:16" x14ac:dyDescent="0.25">
      <c r="A1901" s="2"/>
      <c r="B1901" s="2"/>
      <c r="F1901" s="1"/>
      <c r="G1901" s="1"/>
      <c r="I1901" s="1"/>
      <c r="J1901" s="1"/>
      <c r="L1901" s="1"/>
      <c r="M1901" s="1"/>
      <c r="O1901" s="2"/>
      <c r="P1901" s="2"/>
    </row>
    <row r="1902" spans="1:16" x14ac:dyDescent="0.25">
      <c r="A1902" s="2"/>
      <c r="B1902" s="2"/>
      <c r="F1902" s="1"/>
      <c r="G1902" s="1"/>
      <c r="I1902" s="1"/>
      <c r="J1902" s="1"/>
      <c r="L1902" s="1"/>
      <c r="M1902" s="1"/>
      <c r="O1902" s="2"/>
      <c r="P1902" s="2"/>
    </row>
    <row r="1903" spans="1:16" x14ac:dyDescent="0.25">
      <c r="A1903" s="2"/>
      <c r="B1903" s="2"/>
      <c r="F1903" s="1"/>
      <c r="G1903" s="1"/>
      <c r="I1903" s="1"/>
      <c r="J1903" s="1"/>
      <c r="L1903" s="1"/>
      <c r="M1903" s="1"/>
      <c r="O1903" s="2"/>
      <c r="P1903" s="2"/>
    </row>
    <row r="1904" spans="1:16" x14ac:dyDescent="0.25">
      <c r="A1904" s="2"/>
      <c r="B1904" s="2"/>
      <c r="F1904" s="1"/>
      <c r="G1904" s="1"/>
      <c r="I1904" s="1"/>
      <c r="J1904" s="1"/>
      <c r="L1904" s="1"/>
      <c r="M1904" s="1"/>
      <c r="O1904" s="2"/>
      <c r="P1904" s="2"/>
    </row>
    <row r="1905" spans="1:16" x14ac:dyDescent="0.25">
      <c r="A1905" s="2"/>
      <c r="B1905" s="2"/>
      <c r="F1905" s="1"/>
      <c r="G1905" s="1"/>
      <c r="I1905" s="1"/>
      <c r="J1905" s="1"/>
      <c r="L1905" s="1"/>
      <c r="M1905" s="1"/>
      <c r="O1905" s="2"/>
      <c r="P1905" s="2"/>
    </row>
    <row r="1906" spans="1:16" x14ac:dyDescent="0.25">
      <c r="A1906" s="2"/>
      <c r="B1906" s="2"/>
      <c r="F1906" s="1"/>
      <c r="G1906" s="1"/>
      <c r="I1906" s="1"/>
      <c r="J1906" s="1"/>
      <c r="L1906" s="1"/>
      <c r="M1906" s="1"/>
      <c r="O1906" s="2"/>
      <c r="P1906" s="2"/>
    </row>
    <row r="1907" spans="1:16" x14ac:dyDescent="0.25">
      <c r="A1907" s="2"/>
      <c r="B1907" s="2"/>
      <c r="F1907" s="1"/>
      <c r="G1907" s="1"/>
      <c r="I1907" s="1"/>
      <c r="J1907" s="1"/>
      <c r="L1907" s="1"/>
      <c r="M1907" s="1"/>
      <c r="O1907" s="2"/>
      <c r="P1907" s="2"/>
    </row>
    <row r="1908" spans="1:16" x14ac:dyDescent="0.25">
      <c r="A1908" s="2"/>
      <c r="B1908" s="2"/>
      <c r="F1908" s="1"/>
      <c r="G1908" s="1"/>
      <c r="I1908" s="1"/>
      <c r="J1908" s="1"/>
      <c r="L1908" s="1"/>
      <c r="M1908" s="1"/>
      <c r="O1908" s="2"/>
      <c r="P1908" s="2"/>
    </row>
    <row r="1909" spans="1:16" x14ac:dyDescent="0.25">
      <c r="A1909" s="2"/>
      <c r="B1909" s="2"/>
      <c r="F1909" s="1"/>
      <c r="G1909" s="1"/>
      <c r="I1909" s="1"/>
      <c r="J1909" s="1"/>
      <c r="L1909" s="1"/>
      <c r="M1909" s="1"/>
      <c r="O1909" s="2"/>
      <c r="P1909" s="2"/>
    </row>
    <row r="1910" spans="1:16" x14ac:dyDescent="0.25">
      <c r="A1910" s="2"/>
      <c r="B1910" s="2"/>
      <c r="F1910" s="1"/>
      <c r="G1910" s="1"/>
      <c r="I1910" s="1"/>
      <c r="J1910" s="1"/>
      <c r="L1910" s="1"/>
      <c r="M1910" s="1"/>
      <c r="O1910" s="2"/>
      <c r="P1910" s="2"/>
    </row>
    <row r="1911" spans="1:16" x14ac:dyDescent="0.25">
      <c r="A1911" s="2"/>
      <c r="B1911" s="2"/>
      <c r="F1911" s="1"/>
      <c r="G1911" s="1"/>
      <c r="I1911" s="1"/>
      <c r="J1911" s="1"/>
      <c r="L1911" s="1"/>
      <c r="M1911" s="1"/>
      <c r="O1911" s="2"/>
      <c r="P1911" s="2"/>
    </row>
    <row r="1912" spans="1:16" x14ac:dyDescent="0.25">
      <c r="A1912" s="2"/>
      <c r="B1912" s="2"/>
      <c r="F1912" s="1"/>
      <c r="G1912" s="1"/>
      <c r="I1912" s="1"/>
      <c r="J1912" s="1"/>
      <c r="L1912" s="1"/>
      <c r="M1912" s="1"/>
      <c r="O1912" s="2"/>
      <c r="P1912" s="2"/>
    </row>
    <row r="1913" spans="1:16" x14ac:dyDescent="0.25">
      <c r="A1913" s="2"/>
      <c r="B1913" s="2"/>
      <c r="F1913" s="1"/>
      <c r="G1913" s="1"/>
      <c r="I1913" s="1"/>
      <c r="J1913" s="1"/>
      <c r="L1913" s="1"/>
      <c r="M1913" s="1"/>
      <c r="O1913" s="2"/>
      <c r="P1913" s="2"/>
    </row>
    <row r="1914" spans="1:16" x14ac:dyDescent="0.25">
      <c r="A1914" s="2"/>
      <c r="B1914" s="2"/>
      <c r="F1914" s="1"/>
      <c r="G1914" s="1"/>
      <c r="I1914" s="1"/>
      <c r="J1914" s="1"/>
      <c r="L1914" s="1"/>
      <c r="M1914" s="1"/>
      <c r="O1914" s="2"/>
      <c r="P1914" s="2"/>
    </row>
    <row r="1915" spans="1:16" x14ac:dyDescent="0.25">
      <c r="A1915" s="2"/>
      <c r="B1915" s="2"/>
      <c r="F1915" s="1"/>
      <c r="G1915" s="1"/>
      <c r="I1915" s="1"/>
      <c r="J1915" s="1"/>
      <c r="L1915" s="1"/>
      <c r="M1915" s="1"/>
      <c r="O1915" s="2"/>
      <c r="P1915" s="2"/>
    </row>
    <row r="1916" spans="1:16" x14ac:dyDescent="0.25">
      <c r="A1916" s="2"/>
      <c r="B1916" s="2"/>
      <c r="F1916" s="1"/>
      <c r="G1916" s="1"/>
      <c r="I1916" s="1"/>
      <c r="J1916" s="1"/>
      <c r="L1916" s="1"/>
      <c r="M1916" s="1"/>
      <c r="O1916" s="2"/>
      <c r="P1916" s="2"/>
    </row>
    <row r="1917" spans="1:16" x14ac:dyDescent="0.25">
      <c r="A1917" s="2"/>
      <c r="B1917" s="2"/>
      <c r="F1917" s="1"/>
      <c r="G1917" s="1"/>
      <c r="I1917" s="1"/>
      <c r="J1917" s="1"/>
      <c r="L1917" s="1"/>
      <c r="M1917" s="1"/>
      <c r="O1917" s="2"/>
      <c r="P1917" s="2"/>
    </row>
    <row r="1918" spans="1:16" x14ac:dyDescent="0.25">
      <c r="A1918" s="2"/>
      <c r="B1918" s="2"/>
      <c r="F1918" s="1"/>
      <c r="G1918" s="1"/>
      <c r="I1918" s="1"/>
      <c r="J1918" s="1"/>
      <c r="L1918" s="1"/>
      <c r="M1918" s="1"/>
      <c r="O1918" s="2"/>
      <c r="P1918" s="2"/>
    </row>
    <row r="1919" spans="1:16" x14ac:dyDescent="0.25">
      <c r="A1919" s="2"/>
      <c r="B1919" s="2"/>
      <c r="F1919" s="1"/>
      <c r="G1919" s="1"/>
      <c r="I1919" s="1"/>
      <c r="J1919" s="1"/>
      <c r="L1919" s="1"/>
      <c r="M1919" s="1"/>
      <c r="O1919" s="2"/>
      <c r="P1919" s="2"/>
    </row>
    <row r="1920" spans="1:16" x14ac:dyDescent="0.25">
      <c r="A1920" s="2"/>
      <c r="B1920" s="2"/>
      <c r="F1920" s="1"/>
      <c r="G1920" s="1"/>
      <c r="I1920" s="1"/>
      <c r="J1920" s="1"/>
      <c r="L1920" s="1"/>
      <c r="M1920" s="1"/>
      <c r="O1920" s="2"/>
      <c r="P1920" s="2"/>
    </row>
    <row r="1921" spans="1:16" x14ac:dyDescent="0.25">
      <c r="A1921" s="2"/>
      <c r="B1921" s="2"/>
      <c r="F1921" s="1"/>
      <c r="G1921" s="1"/>
      <c r="I1921" s="1"/>
      <c r="J1921" s="1"/>
      <c r="L1921" s="1"/>
      <c r="M1921" s="1"/>
      <c r="O1921" s="2"/>
      <c r="P1921" s="2"/>
    </row>
    <row r="1922" spans="1:16" x14ac:dyDescent="0.25">
      <c r="A1922" s="2"/>
      <c r="B1922" s="2"/>
      <c r="F1922" s="1"/>
      <c r="G1922" s="1"/>
      <c r="I1922" s="1"/>
      <c r="J1922" s="1"/>
      <c r="L1922" s="1"/>
      <c r="M1922" s="1"/>
      <c r="O1922" s="2"/>
      <c r="P1922" s="2"/>
    </row>
    <row r="1923" spans="1:16" x14ac:dyDescent="0.25">
      <c r="A1923" s="2"/>
      <c r="B1923" s="2"/>
      <c r="F1923" s="1"/>
      <c r="G1923" s="1"/>
      <c r="I1923" s="1"/>
      <c r="J1923" s="1"/>
      <c r="L1923" s="1"/>
      <c r="M1923" s="1"/>
      <c r="O1923" s="2"/>
      <c r="P1923" s="2"/>
    </row>
    <row r="1924" spans="1:16" x14ac:dyDescent="0.25">
      <c r="A1924" s="2"/>
      <c r="B1924" s="2"/>
      <c r="F1924" s="1"/>
      <c r="G1924" s="1"/>
      <c r="I1924" s="1"/>
      <c r="J1924" s="1"/>
      <c r="L1924" s="1"/>
      <c r="M1924" s="1"/>
      <c r="O1924" s="2"/>
      <c r="P1924" s="2"/>
    </row>
    <row r="1925" spans="1:16" x14ac:dyDescent="0.25">
      <c r="A1925" s="2"/>
      <c r="B1925" s="2"/>
      <c r="F1925" s="1"/>
      <c r="G1925" s="1"/>
      <c r="I1925" s="1"/>
      <c r="J1925" s="1"/>
      <c r="L1925" s="1"/>
      <c r="M1925" s="1"/>
      <c r="O1925" s="2"/>
      <c r="P1925" s="2"/>
    </row>
    <row r="1926" spans="1:16" x14ac:dyDescent="0.25">
      <c r="A1926" s="2"/>
      <c r="B1926" s="2"/>
      <c r="F1926" s="1"/>
      <c r="G1926" s="1"/>
      <c r="I1926" s="1"/>
      <c r="J1926" s="1"/>
      <c r="L1926" s="1"/>
      <c r="M1926" s="1"/>
      <c r="O1926" s="2"/>
      <c r="P1926" s="2"/>
    </row>
    <row r="1927" spans="1:16" x14ac:dyDescent="0.25">
      <c r="A1927" s="2"/>
      <c r="B1927" s="2"/>
      <c r="F1927" s="1"/>
      <c r="G1927" s="1"/>
      <c r="I1927" s="1"/>
      <c r="J1927" s="1"/>
      <c r="L1927" s="1"/>
      <c r="M1927" s="1"/>
      <c r="O1927" s="2"/>
      <c r="P1927" s="2"/>
    </row>
    <row r="1928" spans="1:16" x14ac:dyDescent="0.25">
      <c r="A1928" s="2"/>
      <c r="B1928" s="2"/>
      <c r="F1928" s="1"/>
      <c r="G1928" s="1"/>
      <c r="I1928" s="1"/>
      <c r="J1928" s="1"/>
      <c r="L1928" s="1"/>
      <c r="M1928" s="1"/>
      <c r="O1928" s="2"/>
      <c r="P1928" s="2"/>
    </row>
    <row r="1929" spans="1:16" x14ac:dyDescent="0.25">
      <c r="A1929" s="2"/>
      <c r="B1929" s="2"/>
      <c r="F1929" s="1"/>
      <c r="G1929" s="1"/>
      <c r="I1929" s="1"/>
      <c r="J1929" s="1"/>
      <c r="L1929" s="1"/>
      <c r="M1929" s="1"/>
      <c r="O1929" s="2"/>
      <c r="P1929" s="2"/>
    </row>
    <row r="1930" spans="1:16" x14ac:dyDescent="0.25">
      <c r="A1930" s="2"/>
      <c r="B1930" s="2"/>
      <c r="F1930" s="1"/>
      <c r="G1930" s="1"/>
      <c r="I1930" s="1"/>
      <c r="J1930" s="1"/>
      <c r="L1930" s="1"/>
      <c r="M1930" s="1"/>
      <c r="O1930" s="2"/>
      <c r="P1930" s="2"/>
    </row>
    <row r="1931" spans="1:16" x14ac:dyDescent="0.25">
      <c r="A1931" s="2"/>
      <c r="B1931" s="2"/>
      <c r="F1931" s="1"/>
      <c r="G1931" s="1"/>
      <c r="I1931" s="1"/>
      <c r="J1931" s="1"/>
      <c r="L1931" s="1"/>
      <c r="M1931" s="1"/>
      <c r="O1931" s="2"/>
      <c r="P1931" s="2"/>
    </row>
    <row r="1932" spans="1:16" x14ac:dyDescent="0.25">
      <c r="A1932" s="2"/>
      <c r="B1932" s="2"/>
      <c r="F1932" s="1"/>
      <c r="G1932" s="1"/>
      <c r="I1932" s="1"/>
      <c r="J1932" s="1"/>
      <c r="L1932" s="1"/>
      <c r="M1932" s="1"/>
      <c r="O1932" s="2"/>
      <c r="P1932" s="2"/>
    </row>
    <row r="1933" spans="1:16" x14ac:dyDescent="0.25">
      <c r="A1933" s="2"/>
      <c r="B1933" s="2"/>
      <c r="F1933" s="1"/>
      <c r="G1933" s="1"/>
      <c r="I1933" s="1"/>
      <c r="J1933" s="1"/>
      <c r="L1933" s="1"/>
      <c r="M1933" s="1"/>
      <c r="O1933" s="2"/>
      <c r="P1933" s="2"/>
    </row>
    <row r="1934" spans="1:16" x14ac:dyDescent="0.25">
      <c r="A1934" s="2"/>
      <c r="B1934" s="2"/>
      <c r="F1934" s="1"/>
      <c r="G1934" s="1"/>
      <c r="I1934" s="1"/>
      <c r="J1934" s="1"/>
      <c r="L1934" s="1"/>
      <c r="M1934" s="1"/>
      <c r="O1934" s="2"/>
      <c r="P1934" s="2"/>
    </row>
    <row r="1935" spans="1:16" x14ac:dyDescent="0.25">
      <c r="A1935" s="2"/>
      <c r="B1935" s="2"/>
      <c r="F1935" s="1"/>
      <c r="G1935" s="1"/>
      <c r="I1935" s="1"/>
      <c r="J1935" s="1"/>
      <c r="L1935" s="1"/>
      <c r="M1935" s="1"/>
      <c r="O1935" s="2"/>
      <c r="P1935" s="2"/>
    </row>
    <row r="1936" spans="1:16" x14ac:dyDescent="0.25">
      <c r="A1936" s="2"/>
      <c r="B1936" s="2"/>
      <c r="F1936" s="1"/>
      <c r="G1936" s="1"/>
      <c r="I1936" s="1"/>
      <c r="J1936" s="1"/>
      <c r="L1936" s="1"/>
      <c r="M1936" s="1"/>
      <c r="O1936" s="2"/>
      <c r="P1936" s="2"/>
    </row>
    <row r="1937" spans="1:16" x14ac:dyDescent="0.25">
      <c r="A1937" s="2"/>
      <c r="B1937" s="2"/>
      <c r="F1937" s="1"/>
      <c r="G1937" s="1"/>
      <c r="I1937" s="1"/>
      <c r="J1937" s="1"/>
      <c r="L1937" s="1"/>
      <c r="M1937" s="1"/>
      <c r="O1937" s="2"/>
      <c r="P1937" s="2"/>
    </row>
    <row r="1938" spans="1:16" x14ac:dyDescent="0.25">
      <c r="A1938" s="2"/>
      <c r="B1938" s="2"/>
      <c r="F1938" s="1"/>
      <c r="G1938" s="1"/>
      <c r="I1938" s="1"/>
      <c r="J1938" s="1"/>
      <c r="L1938" s="1"/>
      <c r="M1938" s="1"/>
      <c r="O1938" s="2"/>
      <c r="P1938" s="2"/>
    </row>
    <row r="1939" spans="1:16" x14ac:dyDescent="0.25">
      <c r="A1939" s="2"/>
      <c r="B1939" s="2"/>
      <c r="F1939" s="1"/>
      <c r="G1939" s="1"/>
      <c r="I1939" s="1"/>
      <c r="J1939" s="1"/>
      <c r="L1939" s="1"/>
      <c r="M1939" s="1"/>
      <c r="O1939" s="2"/>
      <c r="P1939" s="2"/>
    </row>
    <row r="1940" spans="1:16" x14ac:dyDescent="0.25">
      <c r="A1940" s="2"/>
      <c r="B1940" s="2"/>
      <c r="F1940" s="1"/>
      <c r="G1940" s="1"/>
      <c r="I1940" s="1"/>
      <c r="J1940" s="1"/>
      <c r="L1940" s="1"/>
      <c r="M1940" s="1"/>
      <c r="O1940" s="2"/>
      <c r="P1940" s="2"/>
    </row>
    <row r="1941" spans="1:16" x14ac:dyDescent="0.25">
      <c r="A1941" s="2"/>
      <c r="B1941" s="2"/>
      <c r="F1941" s="1"/>
      <c r="G1941" s="1"/>
      <c r="I1941" s="1"/>
      <c r="J1941" s="1"/>
      <c r="L1941" s="1"/>
      <c r="M1941" s="1"/>
      <c r="O1941" s="2"/>
      <c r="P1941" s="2"/>
    </row>
    <row r="1942" spans="1:16" x14ac:dyDescent="0.25">
      <c r="A1942" s="2"/>
      <c r="B1942" s="2"/>
      <c r="F1942" s="1"/>
      <c r="G1942" s="1"/>
      <c r="I1942" s="1"/>
      <c r="J1942" s="1"/>
      <c r="L1942" s="1"/>
      <c r="M1942" s="1"/>
      <c r="O1942" s="2"/>
      <c r="P1942" s="2"/>
    </row>
    <row r="1943" spans="1:16" x14ac:dyDescent="0.25">
      <c r="A1943" s="2"/>
      <c r="B1943" s="2"/>
      <c r="F1943" s="1"/>
      <c r="G1943" s="1"/>
      <c r="I1943" s="1"/>
      <c r="J1943" s="1"/>
      <c r="L1943" s="1"/>
      <c r="M1943" s="1"/>
      <c r="O1943" s="2"/>
      <c r="P1943" s="2"/>
    </row>
    <row r="1944" spans="1:16" x14ac:dyDescent="0.25">
      <c r="A1944" s="2"/>
      <c r="B1944" s="2"/>
      <c r="F1944" s="1"/>
      <c r="G1944" s="1"/>
      <c r="I1944" s="1"/>
      <c r="J1944" s="1"/>
      <c r="L1944" s="1"/>
      <c r="M1944" s="1"/>
      <c r="O1944" s="2"/>
      <c r="P1944" s="2"/>
    </row>
    <row r="1945" spans="1:16" x14ac:dyDescent="0.25">
      <c r="A1945" s="2"/>
      <c r="B1945" s="2"/>
      <c r="F1945" s="1"/>
      <c r="G1945" s="1"/>
      <c r="I1945" s="1"/>
      <c r="J1945" s="1"/>
      <c r="L1945" s="1"/>
      <c r="M1945" s="1"/>
      <c r="O1945" s="2"/>
      <c r="P1945" s="2"/>
    </row>
    <row r="1946" spans="1:16" x14ac:dyDescent="0.25">
      <c r="A1946" s="2"/>
      <c r="B1946" s="2"/>
      <c r="F1946" s="1"/>
      <c r="G1946" s="1"/>
      <c r="I1946" s="1"/>
      <c r="J1946" s="1"/>
      <c r="L1946" s="1"/>
      <c r="M1946" s="1"/>
      <c r="O1946" s="2"/>
      <c r="P1946" s="2"/>
    </row>
    <row r="1947" spans="1:16" x14ac:dyDescent="0.25">
      <c r="A1947" s="2"/>
      <c r="B1947" s="2"/>
      <c r="F1947" s="1"/>
      <c r="G1947" s="1"/>
      <c r="I1947" s="1"/>
      <c r="J1947" s="1"/>
      <c r="L1947" s="1"/>
      <c r="M1947" s="1"/>
      <c r="O1947" s="2"/>
      <c r="P1947" s="2"/>
    </row>
    <row r="1948" spans="1:16" x14ac:dyDescent="0.25">
      <c r="A1948" s="2"/>
      <c r="B1948" s="2"/>
      <c r="F1948" s="1"/>
      <c r="G1948" s="1"/>
      <c r="I1948" s="1"/>
      <c r="J1948" s="1"/>
      <c r="L1948" s="1"/>
      <c r="M1948" s="1"/>
      <c r="O1948" s="2"/>
      <c r="P1948" s="2"/>
    </row>
    <row r="1949" spans="1:16" x14ac:dyDescent="0.25">
      <c r="A1949" s="2"/>
      <c r="B1949" s="2"/>
      <c r="F1949" s="1"/>
      <c r="G1949" s="1"/>
      <c r="I1949" s="1"/>
      <c r="J1949" s="1"/>
      <c r="L1949" s="1"/>
      <c r="M1949" s="1"/>
      <c r="O1949" s="2"/>
      <c r="P1949" s="2"/>
    </row>
    <row r="1950" spans="1:16" x14ac:dyDescent="0.25">
      <c r="A1950" s="2"/>
      <c r="B1950" s="2"/>
      <c r="F1950" s="1"/>
      <c r="G1950" s="1"/>
      <c r="I1950" s="1"/>
      <c r="J1950" s="1"/>
      <c r="L1950" s="1"/>
      <c r="M1950" s="1"/>
      <c r="O1950" s="2"/>
      <c r="P1950" s="2"/>
    </row>
    <row r="1951" spans="1:16" x14ac:dyDescent="0.25">
      <c r="A1951" s="2"/>
      <c r="B1951" s="2"/>
      <c r="F1951" s="1"/>
      <c r="G1951" s="1"/>
      <c r="I1951" s="1"/>
      <c r="J1951" s="1"/>
      <c r="L1951" s="1"/>
      <c r="M1951" s="1"/>
      <c r="O1951" s="2"/>
      <c r="P1951" s="2"/>
    </row>
    <row r="1952" spans="1:16" x14ac:dyDescent="0.25">
      <c r="A1952" s="2"/>
      <c r="B1952" s="2"/>
      <c r="F1952" s="1"/>
      <c r="G1952" s="1"/>
      <c r="I1952" s="1"/>
      <c r="J1952" s="1"/>
      <c r="L1952" s="1"/>
      <c r="M1952" s="1"/>
      <c r="O1952" s="2"/>
      <c r="P1952" s="2"/>
    </row>
    <row r="1953" spans="1:16" x14ac:dyDescent="0.25">
      <c r="A1953" s="2"/>
      <c r="B1953" s="2"/>
      <c r="F1953" s="1"/>
      <c r="G1953" s="1"/>
      <c r="I1953" s="1"/>
      <c r="J1953" s="1"/>
      <c r="L1953" s="1"/>
      <c r="M1953" s="1"/>
      <c r="O1953" s="2"/>
      <c r="P1953" s="2"/>
    </row>
    <row r="1954" spans="1:16" x14ac:dyDescent="0.25">
      <c r="A1954" s="2"/>
      <c r="B1954" s="2"/>
      <c r="F1954" s="1"/>
      <c r="G1954" s="1"/>
      <c r="I1954" s="1"/>
      <c r="J1954" s="1"/>
      <c r="L1954" s="1"/>
      <c r="M1954" s="1"/>
      <c r="O1954" s="2"/>
      <c r="P1954" s="2"/>
    </row>
    <row r="1955" spans="1:16" x14ac:dyDescent="0.25">
      <c r="A1955" s="2"/>
      <c r="B1955" s="2"/>
      <c r="F1955" s="1"/>
      <c r="G1955" s="1"/>
      <c r="I1955" s="1"/>
      <c r="J1955" s="1"/>
      <c r="L1955" s="1"/>
      <c r="M1955" s="1"/>
      <c r="O1955" s="2"/>
      <c r="P1955" s="2"/>
    </row>
    <row r="1956" spans="1:16" x14ac:dyDescent="0.25">
      <c r="A1956" s="2"/>
      <c r="B1956" s="2"/>
      <c r="F1956" s="1"/>
      <c r="G1956" s="1"/>
      <c r="I1956" s="1"/>
      <c r="J1956" s="1"/>
      <c r="L1956" s="1"/>
      <c r="M1956" s="1"/>
      <c r="O1956" s="2"/>
      <c r="P1956" s="2"/>
    </row>
    <row r="1957" spans="1:16" x14ac:dyDescent="0.25">
      <c r="A1957" s="2"/>
      <c r="B1957" s="2"/>
      <c r="F1957" s="1"/>
      <c r="G1957" s="1"/>
      <c r="I1957" s="1"/>
      <c r="J1957" s="1"/>
      <c r="L1957" s="1"/>
      <c r="M1957" s="1"/>
      <c r="O1957" s="2"/>
      <c r="P1957" s="2"/>
    </row>
    <row r="1958" spans="1:16" x14ac:dyDescent="0.25">
      <c r="A1958" s="2"/>
      <c r="B1958" s="2"/>
      <c r="F1958" s="1"/>
      <c r="G1958" s="1"/>
      <c r="I1958" s="1"/>
      <c r="J1958" s="1"/>
      <c r="L1958" s="1"/>
      <c r="M1958" s="1"/>
      <c r="O1958" s="2"/>
      <c r="P1958" s="2"/>
    </row>
    <row r="1959" spans="1:16" x14ac:dyDescent="0.25">
      <c r="A1959" s="2"/>
      <c r="B1959" s="2"/>
      <c r="F1959" s="1"/>
      <c r="G1959" s="1"/>
      <c r="I1959" s="1"/>
      <c r="J1959" s="1"/>
      <c r="L1959" s="1"/>
      <c r="M1959" s="1"/>
      <c r="O1959" s="2"/>
      <c r="P1959" s="2"/>
    </row>
    <row r="1960" spans="1:16" x14ac:dyDescent="0.25">
      <c r="A1960" s="2"/>
      <c r="B1960" s="2"/>
      <c r="F1960" s="1"/>
      <c r="G1960" s="1"/>
      <c r="I1960" s="1"/>
      <c r="J1960" s="1"/>
      <c r="L1960" s="1"/>
      <c r="M1960" s="1"/>
      <c r="O1960" s="2"/>
      <c r="P1960" s="2"/>
    </row>
    <row r="1961" spans="1:16" x14ac:dyDescent="0.25">
      <c r="A1961" s="2"/>
      <c r="B1961" s="2"/>
      <c r="F1961" s="1"/>
      <c r="G1961" s="1"/>
      <c r="I1961" s="1"/>
      <c r="J1961" s="1"/>
      <c r="L1961" s="1"/>
      <c r="M1961" s="1"/>
      <c r="O1961" s="2"/>
      <c r="P1961" s="2"/>
    </row>
    <row r="1962" spans="1:16" x14ac:dyDescent="0.25">
      <c r="A1962" s="2"/>
      <c r="B1962" s="2"/>
      <c r="F1962" s="1"/>
      <c r="G1962" s="1"/>
      <c r="I1962" s="1"/>
      <c r="J1962" s="1"/>
      <c r="L1962" s="1"/>
      <c r="M1962" s="1"/>
      <c r="O1962" s="2"/>
      <c r="P1962" s="2"/>
    </row>
    <row r="1963" spans="1:16" x14ac:dyDescent="0.25">
      <c r="A1963" s="2"/>
      <c r="B1963" s="2"/>
      <c r="F1963" s="1"/>
      <c r="G1963" s="1"/>
      <c r="I1963" s="1"/>
      <c r="J1963" s="1"/>
      <c r="L1963" s="1"/>
      <c r="M1963" s="1"/>
      <c r="O1963" s="2"/>
      <c r="P1963" s="2"/>
    </row>
    <row r="1964" spans="1:16" x14ac:dyDescent="0.25">
      <c r="A1964" s="2"/>
      <c r="B1964" s="2"/>
      <c r="F1964" s="1"/>
      <c r="G1964" s="1"/>
      <c r="I1964" s="1"/>
      <c r="J1964" s="1"/>
      <c r="L1964" s="1"/>
      <c r="M1964" s="1"/>
      <c r="O1964" s="2"/>
      <c r="P1964" s="2"/>
    </row>
    <row r="1965" spans="1:16" x14ac:dyDescent="0.25">
      <c r="A1965" s="2"/>
      <c r="B1965" s="2"/>
      <c r="F1965" s="1"/>
      <c r="G1965" s="1"/>
      <c r="I1965" s="1"/>
      <c r="J1965" s="1"/>
      <c r="L1965" s="1"/>
      <c r="M1965" s="1"/>
      <c r="O1965" s="2"/>
      <c r="P1965" s="2"/>
    </row>
    <row r="1966" spans="1:16" x14ac:dyDescent="0.25">
      <c r="A1966" s="2"/>
      <c r="B1966" s="2"/>
      <c r="F1966" s="1"/>
      <c r="G1966" s="1"/>
      <c r="I1966" s="1"/>
      <c r="J1966" s="1"/>
      <c r="L1966" s="1"/>
      <c r="M1966" s="1"/>
      <c r="O1966" s="2"/>
      <c r="P1966" s="2"/>
    </row>
    <row r="1967" spans="1:16" x14ac:dyDescent="0.25">
      <c r="A1967" s="2"/>
      <c r="B1967" s="2"/>
      <c r="F1967" s="1"/>
      <c r="G1967" s="1"/>
      <c r="I1967" s="1"/>
      <c r="J1967" s="1"/>
      <c r="L1967" s="1"/>
      <c r="M1967" s="1"/>
      <c r="O1967" s="2"/>
      <c r="P1967" s="2"/>
    </row>
    <row r="1968" spans="1:16" x14ac:dyDescent="0.25">
      <c r="A1968" s="2"/>
      <c r="B1968" s="2"/>
      <c r="F1968" s="1"/>
      <c r="G1968" s="1"/>
      <c r="I1968" s="1"/>
      <c r="J1968" s="1"/>
      <c r="L1968" s="1"/>
      <c r="M1968" s="1"/>
      <c r="O1968" s="2"/>
      <c r="P1968" s="2"/>
    </row>
    <row r="1969" spans="1:16" x14ac:dyDescent="0.25">
      <c r="A1969" s="2"/>
      <c r="B1969" s="2"/>
      <c r="F1969" s="1"/>
      <c r="G1969" s="1"/>
      <c r="I1969" s="1"/>
      <c r="J1969" s="1"/>
      <c r="L1969" s="1"/>
      <c r="M1969" s="1"/>
      <c r="O1969" s="2"/>
      <c r="P1969" s="2"/>
    </row>
    <row r="1970" spans="1:16" x14ac:dyDescent="0.25">
      <c r="A1970" s="2"/>
      <c r="B1970" s="2"/>
      <c r="F1970" s="1"/>
      <c r="G1970" s="1"/>
      <c r="I1970" s="1"/>
      <c r="J1970" s="1"/>
      <c r="L1970" s="1"/>
      <c r="M1970" s="1"/>
      <c r="O1970" s="2"/>
      <c r="P1970" s="2"/>
    </row>
    <row r="1971" spans="1:16" x14ac:dyDescent="0.25">
      <c r="A1971" s="2"/>
      <c r="B1971" s="2"/>
      <c r="F1971" s="1"/>
      <c r="G1971" s="1"/>
      <c r="I1971" s="1"/>
      <c r="J1971" s="1"/>
      <c r="L1971" s="1"/>
      <c r="M1971" s="1"/>
      <c r="O1971" s="2"/>
      <c r="P1971" s="2"/>
    </row>
    <row r="1972" spans="1:16" x14ac:dyDescent="0.25">
      <c r="A1972" s="2"/>
      <c r="B1972" s="2"/>
      <c r="F1972" s="1"/>
      <c r="G1972" s="1"/>
      <c r="I1972" s="1"/>
      <c r="J1972" s="1"/>
      <c r="L1972" s="1"/>
      <c r="M1972" s="1"/>
      <c r="O1972" s="2"/>
      <c r="P1972" s="2"/>
    </row>
    <row r="1973" spans="1:16" x14ac:dyDescent="0.25">
      <c r="A1973" s="2"/>
      <c r="B1973" s="2"/>
      <c r="F1973" s="1"/>
      <c r="G1973" s="1"/>
      <c r="I1973" s="1"/>
      <c r="J1973" s="1"/>
      <c r="L1973" s="1"/>
      <c r="M1973" s="1"/>
      <c r="O1973" s="2"/>
      <c r="P1973" s="2"/>
    </row>
    <row r="1974" spans="1:16" x14ac:dyDescent="0.25">
      <c r="A1974" s="2"/>
      <c r="B1974" s="2"/>
      <c r="F1974" s="1"/>
      <c r="G1974" s="1"/>
      <c r="I1974" s="1"/>
      <c r="J1974" s="1"/>
      <c r="L1974" s="1"/>
      <c r="M1974" s="1"/>
      <c r="O1974" s="2"/>
      <c r="P1974" s="2"/>
    </row>
    <row r="1975" spans="1:16" x14ac:dyDescent="0.25">
      <c r="A1975" s="2"/>
      <c r="B1975" s="2"/>
      <c r="F1975" s="1"/>
      <c r="G1975" s="1"/>
      <c r="I1975" s="1"/>
      <c r="J1975" s="1"/>
      <c r="L1975" s="1"/>
      <c r="M1975" s="1"/>
      <c r="O1975" s="2"/>
      <c r="P1975" s="2"/>
    </row>
    <row r="1976" spans="1:16" x14ac:dyDescent="0.25">
      <c r="A1976" s="2"/>
      <c r="B1976" s="2"/>
      <c r="F1976" s="1"/>
      <c r="G1976" s="1"/>
      <c r="I1976" s="1"/>
      <c r="J1976" s="1"/>
      <c r="L1976" s="1"/>
      <c r="M1976" s="1"/>
      <c r="O1976" s="2"/>
      <c r="P1976" s="2"/>
    </row>
    <row r="1977" spans="1:16" x14ac:dyDescent="0.25">
      <c r="A1977" s="2"/>
      <c r="B1977" s="2"/>
      <c r="F1977" s="1"/>
      <c r="G1977" s="1"/>
      <c r="I1977" s="1"/>
      <c r="J1977" s="1"/>
      <c r="L1977" s="1"/>
      <c r="M1977" s="1"/>
      <c r="O1977" s="2"/>
      <c r="P1977" s="2"/>
    </row>
    <row r="1978" spans="1:16" x14ac:dyDescent="0.25">
      <c r="A1978" s="2"/>
      <c r="B1978" s="2"/>
      <c r="F1978" s="1"/>
      <c r="G1978" s="1"/>
      <c r="I1978" s="1"/>
      <c r="J1978" s="1"/>
      <c r="L1978" s="1"/>
      <c r="M1978" s="1"/>
      <c r="O1978" s="2"/>
      <c r="P1978" s="2"/>
    </row>
    <row r="1979" spans="1:16" x14ac:dyDescent="0.25">
      <c r="A1979" s="2"/>
      <c r="B1979" s="2"/>
      <c r="F1979" s="1"/>
      <c r="G1979" s="1"/>
      <c r="I1979" s="1"/>
      <c r="J1979" s="1"/>
      <c r="L1979" s="1"/>
      <c r="M1979" s="1"/>
      <c r="O1979" s="2"/>
      <c r="P1979" s="2"/>
    </row>
    <row r="1980" spans="1:16" x14ac:dyDescent="0.25">
      <c r="A1980" s="2"/>
      <c r="B1980" s="2"/>
      <c r="F1980" s="1"/>
      <c r="G1980" s="1"/>
      <c r="I1980" s="1"/>
      <c r="J1980" s="1"/>
      <c r="L1980" s="1"/>
      <c r="M1980" s="1"/>
      <c r="O1980" s="2"/>
      <c r="P1980" s="2"/>
    </row>
    <row r="1981" spans="1:16" x14ac:dyDescent="0.25">
      <c r="A1981" s="2"/>
      <c r="B1981" s="2"/>
      <c r="F1981" s="1"/>
      <c r="G1981" s="1"/>
      <c r="I1981" s="1"/>
      <c r="J1981" s="1"/>
      <c r="L1981" s="1"/>
      <c r="M1981" s="1"/>
      <c r="O1981" s="2"/>
      <c r="P1981" s="2"/>
    </row>
    <row r="1982" spans="1:16" x14ac:dyDescent="0.25">
      <c r="A1982" s="2"/>
      <c r="B1982" s="2"/>
      <c r="F1982" s="1"/>
      <c r="G1982" s="1"/>
      <c r="I1982" s="1"/>
      <c r="J1982" s="1"/>
      <c r="L1982" s="1"/>
      <c r="M1982" s="1"/>
      <c r="O1982" s="2"/>
      <c r="P1982" s="2"/>
    </row>
    <row r="1983" spans="1:16" x14ac:dyDescent="0.25">
      <c r="A1983" s="2"/>
      <c r="B1983" s="2"/>
      <c r="F1983" s="1"/>
      <c r="G1983" s="1"/>
      <c r="I1983" s="1"/>
      <c r="J1983" s="1"/>
      <c r="L1983" s="1"/>
      <c r="M1983" s="1"/>
      <c r="O1983" s="2"/>
      <c r="P1983" s="2"/>
    </row>
    <row r="1984" spans="1:16" x14ac:dyDescent="0.25">
      <c r="A1984" s="2"/>
      <c r="B1984" s="2"/>
      <c r="F1984" s="1"/>
      <c r="G1984" s="1"/>
      <c r="I1984" s="1"/>
      <c r="J1984" s="1"/>
      <c r="L1984" s="1"/>
      <c r="M1984" s="1"/>
      <c r="O1984" s="2"/>
      <c r="P1984" s="2"/>
    </row>
    <row r="1985" spans="1:16" x14ac:dyDescent="0.25">
      <c r="A1985" s="2"/>
      <c r="B1985" s="2"/>
      <c r="F1985" s="1"/>
      <c r="G1985" s="1"/>
      <c r="I1985" s="1"/>
      <c r="J1985" s="1"/>
      <c r="L1985" s="1"/>
      <c r="M1985" s="1"/>
      <c r="O1985" s="2"/>
      <c r="P1985" s="2"/>
    </row>
    <row r="1986" spans="1:16" x14ac:dyDescent="0.25">
      <c r="A1986" s="2"/>
      <c r="B1986" s="2"/>
      <c r="F1986" s="1"/>
      <c r="G1986" s="1"/>
      <c r="I1986" s="1"/>
      <c r="J1986" s="1"/>
      <c r="L1986" s="1"/>
      <c r="M1986" s="1"/>
      <c r="O1986" s="2"/>
      <c r="P1986" s="2"/>
    </row>
    <row r="1987" spans="1:16" x14ac:dyDescent="0.25">
      <c r="A1987" s="2"/>
      <c r="B1987" s="2"/>
      <c r="F1987" s="1"/>
      <c r="G1987" s="1"/>
      <c r="I1987" s="1"/>
      <c r="J1987" s="1"/>
      <c r="L1987" s="1"/>
      <c r="M1987" s="1"/>
      <c r="O1987" s="2"/>
      <c r="P1987" s="2"/>
    </row>
    <row r="1988" spans="1:16" x14ac:dyDescent="0.25">
      <c r="A1988" s="2"/>
      <c r="B1988" s="2"/>
      <c r="F1988" s="1"/>
      <c r="G1988" s="1"/>
      <c r="I1988" s="1"/>
      <c r="J1988" s="1"/>
      <c r="L1988" s="1"/>
      <c r="M1988" s="1"/>
      <c r="O1988" s="2"/>
      <c r="P1988" s="2"/>
    </row>
    <row r="1989" spans="1:16" x14ac:dyDescent="0.25">
      <c r="A1989" s="2"/>
      <c r="B1989" s="2"/>
      <c r="F1989" s="1"/>
      <c r="G1989" s="1"/>
      <c r="I1989" s="1"/>
      <c r="J1989" s="1"/>
      <c r="L1989" s="1"/>
      <c r="M1989" s="1"/>
      <c r="O1989" s="2"/>
      <c r="P1989" s="2"/>
    </row>
    <row r="1990" spans="1:16" x14ac:dyDescent="0.25">
      <c r="A1990" s="2"/>
      <c r="B1990" s="2"/>
      <c r="F1990" s="1"/>
      <c r="G1990" s="1"/>
      <c r="I1990" s="1"/>
      <c r="J1990" s="1"/>
      <c r="L1990" s="1"/>
      <c r="M1990" s="1"/>
      <c r="O1990" s="2"/>
      <c r="P1990" s="2"/>
    </row>
    <row r="1991" spans="1:16" x14ac:dyDescent="0.25">
      <c r="A1991" s="2"/>
      <c r="B1991" s="2"/>
      <c r="F1991" s="1"/>
      <c r="G1991" s="1"/>
      <c r="I1991" s="1"/>
      <c r="J1991" s="1"/>
      <c r="L1991" s="1"/>
      <c r="M1991" s="1"/>
      <c r="O1991" s="2"/>
      <c r="P1991" s="2"/>
    </row>
    <row r="1992" spans="1:16" x14ac:dyDescent="0.25">
      <c r="A1992" s="2"/>
      <c r="B1992" s="2"/>
      <c r="F1992" s="1"/>
      <c r="G1992" s="1"/>
      <c r="I1992" s="1"/>
      <c r="J1992" s="1"/>
      <c r="L1992" s="1"/>
      <c r="M1992" s="1"/>
      <c r="O1992" s="2"/>
      <c r="P1992" s="2"/>
    </row>
    <row r="1993" spans="1:16" x14ac:dyDescent="0.25">
      <c r="A1993" s="2"/>
      <c r="B1993" s="2"/>
      <c r="F1993" s="1"/>
      <c r="G1993" s="1"/>
      <c r="I1993" s="1"/>
      <c r="J1993" s="1"/>
      <c r="L1993" s="1"/>
      <c r="M1993" s="1"/>
      <c r="O1993" s="2"/>
      <c r="P1993" s="2"/>
    </row>
    <row r="1994" spans="1:16" x14ac:dyDescent="0.25">
      <c r="A1994" s="2"/>
      <c r="B1994" s="2"/>
      <c r="F1994" s="1"/>
      <c r="G1994" s="1"/>
      <c r="I1994" s="1"/>
      <c r="J1994" s="1"/>
      <c r="L1994" s="1"/>
      <c r="M1994" s="1"/>
      <c r="O1994" s="2"/>
      <c r="P1994" s="2"/>
    </row>
    <row r="1995" spans="1:16" x14ac:dyDescent="0.25">
      <c r="A1995" s="2"/>
      <c r="B1995" s="2"/>
      <c r="F1995" s="1"/>
      <c r="G1995" s="1"/>
      <c r="I1995" s="1"/>
      <c r="J1995" s="1"/>
      <c r="L1995" s="1"/>
      <c r="M1995" s="1"/>
      <c r="O1995" s="2"/>
      <c r="P1995" s="2"/>
    </row>
    <row r="1996" spans="1:16" x14ac:dyDescent="0.25">
      <c r="A1996" s="2"/>
      <c r="B1996" s="2"/>
      <c r="F1996" s="1"/>
      <c r="G1996" s="1"/>
      <c r="I1996" s="1"/>
      <c r="J1996" s="1"/>
      <c r="L1996" s="1"/>
      <c r="M1996" s="1"/>
      <c r="O1996" s="2"/>
      <c r="P1996" s="2"/>
    </row>
    <row r="1997" spans="1:16" x14ac:dyDescent="0.25">
      <c r="A1997" s="2"/>
      <c r="B1997" s="2"/>
      <c r="F1997" s="1"/>
      <c r="G1997" s="1"/>
      <c r="I1997" s="1"/>
      <c r="J1997" s="1"/>
      <c r="L1997" s="1"/>
      <c r="M1997" s="1"/>
      <c r="O1997" s="2"/>
      <c r="P1997" s="2"/>
    </row>
    <row r="1998" spans="1:16" x14ac:dyDescent="0.25">
      <c r="A1998" s="2"/>
      <c r="B1998" s="2"/>
      <c r="F1998" s="1"/>
      <c r="G1998" s="1"/>
      <c r="I1998" s="1"/>
      <c r="J1998" s="1"/>
      <c r="L1998" s="1"/>
      <c r="M1998" s="1"/>
      <c r="O1998" s="2"/>
      <c r="P1998" s="2"/>
    </row>
    <row r="1999" spans="1:16" x14ac:dyDescent="0.25">
      <c r="A1999" s="2"/>
      <c r="B1999" s="2"/>
      <c r="F1999" s="1"/>
      <c r="G1999" s="1"/>
      <c r="I1999" s="1"/>
      <c r="J1999" s="1"/>
      <c r="L1999" s="1"/>
      <c r="M1999" s="1"/>
      <c r="O1999" s="2"/>
      <c r="P1999" s="2"/>
    </row>
    <row r="2000" spans="1:16" x14ac:dyDescent="0.25">
      <c r="A2000" s="2"/>
      <c r="B2000" s="2"/>
      <c r="F2000" s="1"/>
      <c r="G2000" s="1"/>
      <c r="I2000" s="1"/>
      <c r="J2000" s="1"/>
      <c r="L2000" s="1"/>
      <c r="M2000" s="1"/>
      <c r="O2000" s="2"/>
      <c r="P2000" s="2"/>
    </row>
    <row r="2001" spans="1:16" x14ac:dyDescent="0.25">
      <c r="A2001" s="2"/>
      <c r="B2001" s="2"/>
      <c r="F2001" s="1"/>
      <c r="G2001" s="1"/>
      <c r="I2001" s="1"/>
      <c r="J2001" s="1"/>
      <c r="L2001" s="1"/>
      <c r="M2001" s="1"/>
      <c r="O2001" s="2"/>
      <c r="P2001" s="2"/>
    </row>
    <row r="2002" spans="1:16" x14ac:dyDescent="0.25">
      <c r="A2002" s="2"/>
      <c r="B2002" s="2"/>
      <c r="F2002" s="1"/>
      <c r="G2002" s="1"/>
      <c r="I2002" s="1"/>
      <c r="J2002" s="1"/>
      <c r="L2002" s="1"/>
      <c r="M2002" s="1"/>
      <c r="O2002" s="2"/>
      <c r="P2002" s="2"/>
    </row>
    <row r="2003" spans="1:16" x14ac:dyDescent="0.25">
      <c r="A2003" s="2"/>
      <c r="B2003" s="2"/>
      <c r="F2003" s="1"/>
      <c r="G2003" s="1"/>
      <c r="I2003" s="1"/>
      <c r="J2003" s="1"/>
      <c r="L2003" s="1"/>
      <c r="M2003" s="1"/>
      <c r="O2003" s="2"/>
      <c r="P2003" s="2"/>
    </row>
    <row r="2004" spans="1:16" x14ac:dyDescent="0.25">
      <c r="A2004" s="2"/>
      <c r="B2004" s="2"/>
      <c r="F2004" s="1"/>
      <c r="G2004" s="1"/>
      <c r="I2004" s="1"/>
      <c r="J2004" s="1"/>
      <c r="L2004" s="1"/>
      <c r="M2004" s="1"/>
      <c r="O2004" s="2"/>
      <c r="P2004" s="2"/>
    </row>
    <row r="2005" spans="1:16" x14ac:dyDescent="0.25">
      <c r="A2005" s="2"/>
      <c r="B2005" s="2"/>
      <c r="F2005" s="1"/>
      <c r="G2005" s="1"/>
      <c r="I2005" s="1"/>
      <c r="J2005" s="1"/>
      <c r="L2005" s="1"/>
      <c r="M2005" s="1"/>
      <c r="O2005" s="2"/>
      <c r="P2005" s="2"/>
    </row>
    <row r="2006" spans="1:16" x14ac:dyDescent="0.25">
      <c r="A2006" s="2"/>
      <c r="B2006" s="2"/>
      <c r="F2006" s="1"/>
      <c r="G2006" s="1"/>
      <c r="I2006" s="1"/>
      <c r="J2006" s="1"/>
      <c r="L2006" s="1"/>
      <c r="M2006" s="1"/>
      <c r="O2006" s="2"/>
      <c r="P2006" s="2"/>
    </row>
    <row r="2007" spans="1:16" x14ac:dyDescent="0.25">
      <c r="A2007" s="2"/>
      <c r="B2007" s="2"/>
      <c r="F2007" s="1"/>
      <c r="G2007" s="1"/>
      <c r="I2007" s="1"/>
      <c r="J2007" s="1"/>
      <c r="L2007" s="1"/>
      <c r="M2007" s="1"/>
      <c r="O2007" s="2"/>
      <c r="P2007" s="2"/>
    </row>
    <row r="2008" spans="1:16" x14ac:dyDescent="0.25">
      <c r="A2008" s="2"/>
      <c r="B2008" s="2"/>
      <c r="F2008" s="1"/>
      <c r="G2008" s="1"/>
      <c r="I2008" s="1"/>
      <c r="J2008" s="1"/>
      <c r="L2008" s="1"/>
      <c r="M2008" s="1"/>
      <c r="O2008" s="2"/>
      <c r="P2008" s="2"/>
    </row>
    <row r="2009" spans="1:16" x14ac:dyDescent="0.25">
      <c r="A2009" s="2"/>
      <c r="B2009" s="2"/>
      <c r="F2009" s="1"/>
      <c r="G2009" s="1"/>
      <c r="I2009" s="1"/>
      <c r="J2009" s="1"/>
      <c r="L2009" s="1"/>
      <c r="M2009" s="1"/>
      <c r="O2009" s="2"/>
      <c r="P2009" s="2"/>
    </row>
    <row r="2010" spans="1:16" x14ac:dyDescent="0.25">
      <c r="A2010" s="2"/>
      <c r="B2010" s="2"/>
      <c r="F2010" s="1"/>
      <c r="G2010" s="1"/>
      <c r="I2010" s="1"/>
      <c r="J2010" s="1"/>
      <c r="L2010" s="1"/>
      <c r="M2010" s="1"/>
      <c r="O2010" s="2"/>
      <c r="P2010" s="2"/>
    </row>
    <row r="2011" spans="1:16" x14ac:dyDescent="0.25">
      <c r="A2011" s="2"/>
      <c r="B2011" s="2"/>
      <c r="F2011" s="1"/>
      <c r="G2011" s="1"/>
      <c r="I2011" s="1"/>
      <c r="J2011" s="1"/>
      <c r="L2011" s="1"/>
      <c r="M2011" s="1"/>
      <c r="O2011" s="2"/>
      <c r="P2011" s="2"/>
    </row>
    <row r="2012" spans="1:16" x14ac:dyDescent="0.25">
      <c r="A2012" s="2"/>
      <c r="B2012" s="2"/>
      <c r="F2012" s="1"/>
      <c r="G2012" s="1"/>
      <c r="I2012" s="1"/>
      <c r="J2012" s="1"/>
      <c r="L2012" s="1"/>
      <c r="M2012" s="1"/>
      <c r="O2012" s="2"/>
      <c r="P2012" s="2"/>
    </row>
    <row r="2013" spans="1:16" x14ac:dyDescent="0.25">
      <c r="A2013" s="2"/>
      <c r="B2013" s="2"/>
      <c r="F2013" s="1"/>
      <c r="G2013" s="1"/>
      <c r="I2013" s="1"/>
      <c r="J2013" s="1"/>
      <c r="L2013" s="1"/>
      <c r="M2013" s="1"/>
      <c r="O2013" s="2"/>
      <c r="P2013" s="2"/>
    </row>
    <row r="2014" spans="1:16" x14ac:dyDescent="0.25">
      <c r="A2014" s="2"/>
      <c r="B2014" s="2"/>
      <c r="F2014" s="1"/>
      <c r="G2014" s="1"/>
      <c r="I2014" s="1"/>
      <c r="J2014" s="1"/>
      <c r="L2014" s="1"/>
      <c r="M2014" s="1"/>
      <c r="O2014" s="2"/>
      <c r="P2014" s="2"/>
    </row>
    <row r="2015" spans="1:16" x14ac:dyDescent="0.25">
      <c r="A2015" s="2"/>
      <c r="B2015" s="2"/>
      <c r="F2015" s="1"/>
      <c r="G2015" s="1"/>
      <c r="I2015" s="1"/>
      <c r="J2015" s="1"/>
      <c r="L2015" s="1"/>
      <c r="M2015" s="1"/>
      <c r="O2015" s="2"/>
      <c r="P2015" s="2"/>
    </row>
    <row r="2016" spans="1:16" x14ac:dyDescent="0.25">
      <c r="A2016" s="2"/>
      <c r="B2016" s="2"/>
      <c r="F2016" s="1"/>
      <c r="G2016" s="1"/>
      <c r="I2016" s="1"/>
      <c r="J2016" s="1"/>
      <c r="L2016" s="1"/>
      <c r="M2016" s="1"/>
      <c r="O2016" s="2"/>
      <c r="P2016" s="2"/>
    </row>
    <row r="2017" spans="1:16" x14ac:dyDescent="0.25">
      <c r="A2017" s="2"/>
      <c r="B2017" s="2"/>
      <c r="F2017" s="1"/>
      <c r="G2017" s="1"/>
      <c r="I2017" s="1"/>
      <c r="J2017" s="1"/>
      <c r="L2017" s="1"/>
      <c r="M2017" s="1"/>
      <c r="O2017" s="2"/>
      <c r="P2017" s="2"/>
    </row>
    <row r="2018" spans="1:16" x14ac:dyDescent="0.25">
      <c r="A2018" s="2"/>
      <c r="B2018" s="2"/>
      <c r="F2018" s="1"/>
      <c r="G2018" s="1"/>
      <c r="I2018" s="1"/>
      <c r="J2018" s="1"/>
      <c r="L2018" s="1"/>
      <c r="M2018" s="1"/>
      <c r="O2018" s="2"/>
      <c r="P2018" s="2"/>
    </row>
    <row r="2019" spans="1:16" x14ac:dyDescent="0.25">
      <c r="A2019" s="2"/>
      <c r="B2019" s="2"/>
      <c r="F2019" s="1"/>
      <c r="G2019" s="1"/>
      <c r="I2019" s="1"/>
      <c r="J2019" s="1"/>
      <c r="L2019" s="1"/>
      <c r="M2019" s="1"/>
      <c r="O2019" s="2"/>
      <c r="P2019" s="2"/>
    </row>
    <row r="2020" spans="1:16" x14ac:dyDescent="0.25">
      <c r="A2020" s="2"/>
      <c r="B2020" s="2"/>
      <c r="F2020" s="1"/>
      <c r="G2020" s="1"/>
      <c r="I2020" s="1"/>
      <c r="J2020" s="1"/>
      <c r="L2020" s="1"/>
      <c r="M2020" s="1"/>
      <c r="O2020" s="2"/>
      <c r="P2020" s="2"/>
    </row>
    <row r="2021" spans="1:16" x14ac:dyDescent="0.25">
      <c r="A2021" s="2"/>
      <c r="B2021" s="2"/>
      <c r="F2021" s="1"/>
      <c r="G2021" s="1"/>
      <c r="I2021" s="1"/>
      <c r="J2021" s="1"/>
      <c r="L2021" s="1"/>
      <c r="M2021" s="1"/>
      <c r="O2021" s="2"/>
      <c r="P2021" s="2"/>
    </row>
    <row r="2022" spans="1:16" x14ac:dyDescent="0.25">
      <c r="A2022" s="2"/>
      <c r="B2022" s="2"/>
      <c r="F2022" s="1"/>
      <c r="G2022" s="1"/>
      <c r="I2022" s="1"/>
      <c r="J2022" s="1"/>
      <c r="L2022" s="1"/>
      <c r="M2022" s="1"/>
      <c r="O2022" s="2"/>
      <c r="P2022" s="2"/>
    </row>
    <row r="2023" spans="1:16" x14ac:dyDescent="0.25">
      <c r="A2023" s="2"/>
      <c r="B2023" s="2"/>
      <c r="F2023" s="1"/>
      <c r="G2023" s="1"/>
      <c r="I2023" s="1"/>
      <c r="J2023" s="1"/>
      <c r="L2023" s="1"/>
      <c r="M2023" s="1"/>
      <c r="O2023" s="2"/>
      <c r="P2023" s="2"/>
    </row>
    <row r="2024" spans="1:16" x14ac:dyDescent="0.25">
      <c r="A2024" s="2"/>
      <c r="B2024" s="2"/>
      <c r="F2024" s="1"/>
      <c r="G2024" s="1"/>
      <c r="I2024" s="1"/>
      <c r="J2024" s="1"/>
      <c r="L2024" s="1"/>
      <c r="M2024" s="1"/>
      <c r="O2024" s="2"/>
      <c r="P2024" s="2"/>
    </row>
    <row r="2025" spans="1:16" x14ac:dyDescent="0.25">
      <c r="A2025" s="2"/>
      <c r="B2025" s="2"/>
      <c r="F2025" s="1"/>
      <c r="G2025" s="1"/>
      <c r="I2025" s="1"/>
      <c r="J2025" s="1"/>
      <c r="L2025" s="1"/>
      <c r="M2025" s="1"/>
      <c r="O2025" s="2"/>
      <c r="P2025" s="2"/>
    </row>
    <row r="2026" spans="1:16" x14ac:dyDescent="0.25">
      <c r="A2026" s="2"/>
      <c r="B2026" s="2"/>
      <c r="F2026" s="1"/>
      <c r="G2026" s="1"/>
      <c r="I2026" s="1"/>
      <c r="J2026" s="1"/>
      <c r="L2026" s="1"/>
      <c r="M2026" s="1"/>
      <c r="O2026" s="2"/>
      <c r="P2026" s="2"/>
    </row>
    <row r="2027" spans="1:16" x14ac:dyDescent="0.25">
      <c r="A2027" s="2"/>
      <c r="B2027" s="2"/>
      <c r="F2027" s="1"/>
      <c r="G2027" s="1"/>
      <c r="I2027" s="1"/>
      <c r="J2027" s="1"/>
      <c r="L2027" s="1"/>
      <c r="M2027" s="1"/>
      <c r="O2027" s="2"/>
      <c r="P2027" s="2"/>
    </row>
    <row r="2028" spans="1:16" x14ac:dyDescent="0.25">
      <c r="A2028" s="2"/>
      <c r="B2028" s="2"/>
      <c r="F2028" s="1"/>
      <c r="G2028" s="1"/>
      <c r="I2028" s="1"/>
      <c r="J2028" s="1"/>
      <c r="L2028" s="1"/>
      <c r="M2028" s="1"/>
      <c r="O2028" s="2"/>
      <c r="P2028" s="2"/>
    </row>
    <row r="2029" spans="1:16" x14ac:dyDescent="0.25">
      <c r="A2029" s="2"/>
      <c r="B2029" s="2"/>
      <c r="F2029" s="1"/>
      <c r="G2029" s="1"/>
      <c r="I2029" s="1"/>
      <c r="J2029" s="1"/>
      <c r="L2029" s="1"/>
      <c r="M2029" s="1"/>
      <c r="O2029" s="2"/>
      <c r="P2029" s="2"/>
    </row>
    <row r="2030" spans="1:16" x14ac:dyDescent="0.25">
      <c r="A2030" s="2"/>
      <c r="B2030" s="2"/>
      <c r="F2030" s="1"/>
      <c r="G2030" s="1"/>
      <c r="I2030" s="1"/>
      <c r="J2030" s="1"/>
      <c r="L2030" s="1"/>
      <c r="M2030" s="1"/>
      <c r="O2030" s="2"/>
      <c r="P2030" s="2"/>
    </row>
    <row r="2031" spans="1:16" x14ac:dyDescent="0.25">
      <c r="A2031" s="2"/>
      <c r="B2031" s="2"/>
      <c r="F2031" s="1"/>
      <c r="G2031" s="1"/>
      <c r="I2031" s="1"/>
      <c r="J2031" s="1"/>
      <c r="L2031" s="1"/>
      <c r="M2031" s="1"/>
      <c r="O2031" s="2"/>
      <c r="P2031" s="2"/>
    </row>
    <row r="2032" spans="1:16" x14ac:dyDescent="0.25">
      <c r="A2032" s="2"/>
      <c r="B2032" s="2"/>
      <c r="F2032" s="1"/>
      <c r="G2032" s="1"/>
      <c r="I2032" s="1"/>
      <c r="J2032" s="1"/>
      <c r="L2032" s="1"/>
      <c r="M2032" s="1"/>
      <c r="O2032" s="2"/>
      <c r="P2032" s="2"/>
    </row>
    <row r="2033" spans="1:16" x14ac:dyDescent="0.25">
      <c r="A2033" s="2"/>
      <c r="B2033" s="2"/>
      <c r="F2033" s="1"/>
      <c r="G2033" s="1"/>
      <c r="I2033" s="1"/>
      <c r="J2033" s="1"/>
      <c r="L2033" s="1"/>
      <c r="M2033" s="1"/>
      <c r="O2033" s="2"/>
      <c r="P2033" s="2"/>
    </row>
    <row r="2034" spans="1:16" x14ac:dyDescent="0.25">
      <c r="A2034" s="2"/>
      <c r="B2034" s="2"/>
      <c r="F2034" s="1"/>
      <c r="G2034" s="1"/>
      <c r="I2034" s="1"/>
      <c r="J2034" s="1"/>
      <c r="L2034" s="1"/>
      <c r="M2034" s="1"/>
      <c r="O2034" s="2"/>
      <c r="P2034" s="2"/>
    </row>
    <row r="2035" spans="1:16" x14ac:dyDescent="0.25">
      <c r="A2035" s="2"/>
      <c r="B2035" s="2"/>
      <c r="F2035" s="1"/>
      <c r="G2035" s="1"/>
      <c r="I2035" s="1"/>
      <c r="J2035" s="1"/>
      <c r="L2035" s="1"/>
      <c r="M2035" s="1"/>
      <c r="O2035" s="2"/>
      <c r="P2035" s="2"/>
    </row>
    <row r="2036" spans="1:16" x14ac:dyDescent="0.25">
      <c r="A2036" s="2"/>
      <c r="B2036" s="2"/>
      <c r="F2036" s="1"/>
      <c r="G2036" s="1"/>
      <c r="I2036" s="1"/>
      <c r="J2036" s="1"/>
      <c r="L2036" s="1"/>
      <c r="M2036" s="1"/>
      <c r="O2036" s="2"/>
      <c r="P2036" s="2"/>
    </row>
    <row r="2037" spans="1:16" x14ac:dyDescent="0.25">
      <c r="A2037" s="2"/>
      <c r="B2037" s="2"/>
      <c r="F2037" s="1"/>
      <c r="G2037" s="1"/>
      <c r="I2037" s="1"/>
      <c r="J2037" s="1"/>
      <c r="L2037" s="1"/>
      <c r="M2037" s="1"/>
      <c r="O2037" s="2"/>
      <c r="P2037" s="2"/>
    </row>
    <row r="2038" spans="1:16" x14ac:dyDescent="0.25">
      <c r="A2038" s="2"/>
      <c r="B2038" s="2"/>
      <c r="F2038" s="1"/>
      <c r="G2038" s="1"/>
      <c r="I2038" s="1"/>
      <c r="J2038" s="1"/>
      <c r="L2038" s="1"/>
      <c r="M2038" s="1"/>
      <c r="O2038" s="2"/>
      <c r="P2038" s="2"/>
    </row>
    <row r="2039" spans="1:16" x14ac:dyDescent="0.25">
      <c r="A2039" s="2"/>
      <c r="B2039" s="2"/>
      <c r="F2039" s="1"/>
      <c r="G2039" s="1"/>
      <c r="I2039" s="1"/>
      <c r="J2039" s="1"/>
      <c r="L2039" s="1"/>
      <c r="M2039" s="1"/>
      <c r="O2039" s="2"/>
      <c r="P2039" s="2"/>
    </row>
    <row r="2040" spans="1:16" x14ac:dyDescent="0.25">
      <c r="A2040" s="2"/>
      <c r="B2040" s="2"/>
      <c r="F2040" s="1"/>
      <c r="G2040" s="1"/>
      <c r="I2040" s="1"/>
      <c r="J2040" s="1"/>
      <c r="L2040" s="1"/>
      <c r="M2040" s="1"/>
      <c r="O2040" s="2"/>
      <c r="P2040" s="2"/>
    </row>
    <row r="2041" spans="1:16" x14ac:dyDescent="0.25">
      <c r="A2041" s="2"/>
      <c r="B2041" s="2"/>
      <c r="F2041" s="1"/>
      <c r="G2041" s="1"/>
      <c r="I2041" s="1"/>
      <c r="J2041" s="1"/>
      <c r="L2041" s="1"/>
      <c r="M2041" s="1"/>
      <c r="O2041" s="2"/>
      <c r="P2041" s="2"/>
    </row>
    <row r="2042" spans="1:16" x14ac:dyDescent="0.25">
      <c r="A2042" s="2"/>
      <c r="B2042" s="2"/>
      <c r="F2042" s="1"/>
      <c r="G2042" s="1"/>
      <c r="I2042" s="1"/>
      <c r="J2042" s="1"/>
      <c r="L2042" s="1"/>
      <c r="M2042" s="1"/>
      <c r="O2042" s="2"/>
      <c r="P2042" s="2"/>
    </row>
    <row r="2043" spans="1:16" x14ac:dyDescent="0.25">
      <c r="A2043" s="2"/>
      <c r="B2043" s="2"/>
      <c r="F2043" s="1"/>
      <c r="G2043" s="1"/>
      <c r="I2043" s="1"/>
      <c r="J2043" s="1"/>
      <c r="L2043" s="1"/>
      <c r="M2043" s="1"/>
      <c r="O2043" s="2"/>
      <c r="P2043" s="2"/>
    </row>
    <row r="2044" spans="1:16" x14ac:dyDescent="0.25">
      <c r="A2044" s="2"/>
      <c r="B2044" s="2"/>
      <c r="F2044" s="1"/>
      <c r="G2044" s="1"/>
      <c r="I2044" s="1"/>
      <c r="J2044" s="1"/>
      <c r="L2044" s="1"/>
      <c r="M2044" s="1"/>
      <c r="O2044" s="2"/>
      <c r="P2044" s="2"/>
    </row>
    <row r="2045" spans="1:16" x14ac:dyDescent="0.25">
      <c r="A2045" s="2"/>
      <c r="B2045" s="2"/>
      <c r="F2045" s="1"/>
      <c r="G2045" s="1"/>
      <c r="I2045" s="1"/>
      <c r="J2045" s="1"/>
      <c r="L2045" s="1"/>
      <c r="M2045" s="1"/>
      <c r="O2045" s="2"/>
      <c r="P2045" s="2"/>
    </row>
    <row r="2046" spans="1:16" x14ac:dyDescent="0.25">
      <c r="A2046" s="2"/>
      <c r="B2046" s="2"/>
      <c r="F2046" s="1"/>
      <c r="G2046" s="1"/>
      <c r="I2046" s="1"/>
      <c r="J2046" s="1"/>
      <c r="L2046" s="1"/>
      <c r="M2046" s="1"/>
      <c r="O2046" s="2"/>
      <c r="P2046" s="2"/>
    </row>
    <row r="2047" spans="1:16" x14ac:dyDescent="0.25">
      <c r="A2047" s="2"/>
      <c r="B2047" s="2"/>
      <c r="F2047" s="1"/>
      <c r="G2047" s="1"/>
      <c r="I2047" s="1"/>
      <c r="J2047" s="1"/>
      <c r="L2047" s="1"/>
      <c r="M2047" s="1"/>
      <c r="O2047" s="2"/>
      <c r="P2047" s="2"/>
    </row>
    <row r="2048" spans="1:16" x14ac:dyDescent="0.25">
      <c r="A2048" s="2"/>
      <c r="B2048" s="2"/>
      <c r="F2048" s="1"/>
      <c r="G2048" s="1"/>
      <c r="I2048" s="1"/>
      <c r="J2048" s="1"/>
      <c r="L2048" s="1"/>
      <c r="M2048" s="1"/>
      <c r="O2048" s="2"/>
      <c r="P2048" s="2"/>
    </row>
    <row r="2049" spans="1:16" x14ac:dyDescent="0.25">
      <c r="A2049" s="2"/>
      <c r="B2049" s="2"/>
      <c r="F2049" s="1"/>
      <c r="G2049" s="1"/>
      <c r="I2049" s="1"/>
      <c r="J2049" s="1"/>
      <c r="L2049" s="1"/>
      <c r="M2049" s="1"/>
      <c r="O2049" s="2"/>
      <c r="P2049" s="2"/>
    </row>
    <row r="2050" spans="1:16" x14ac:dyDescent="0.25">
      <c r="A2050" s="2"/>
      <c r="B2050" s="2"/>
      <c r="F2050" s="1"/>
      <c r="G2050" s="1"/>
      <c r="I2050" s="1"/>
      <c r="J2050" s="1"/>
      <c r="L2050" s="1"/>
      <c r="M2050" s="1"/>
      <c r="O2050" s="2"/>
      <c r="P2050" s="2"/>
    </row>
    <row r="2051" spans="1:16" x14ac:dyDescent="0.25">
      <c r="A2051" s="2"/>
      <c r="B2051" s="2"/>
      <c r="F2051" s="1"/>
      <c r="G2051" s="1"/>
      <c r="I2051" s="1"/>
      <c r="J2051" s="1"/>
      <c r="L2051" s="1"/>
      <c r="M2051" s="1"/>
      <c r="O2051" s="2"/>
      <c r="P2051" s="2"/>
    </row>
    <row r="2052" spans="1:16" x14ac:dyDescent="0.25">
      <c r="A2052" s="2"/>
      <c r="B2052" s="2"/>
      <c r="F2052" s="1"/>
      <c r="G2052" s="1"/>
      <c r="I2052" s="1"/>
      <c r="J2052" s="1"/>
      <c r="L2052" s="1"/>
      <c r="M2052" s="1"/>
      <c r="O2052" s="2"/>
      <c r="P2052" s="2"/>
    </row>
    <row r="2053" spans="1:16" x14ac:dyDescent="0.25">
      <c r="A2053" s="2"/>
      <c r="B2053" s="2"/>
      <c r="F2053" s="1"/>
      <c r="G2053" s="1"/>
      <c r="I2053" s="1"/>
      <c r="J2053" s="1"/>
      <c r="L2053" s="1"/>
      <c r="M2053" s="1"/>
      <c r="O2053" s="2"/>
      <c r="P2053" s="2"/>
    </row>
    <row r="2054" spans="1:16" x14ac:dyDescent="0.25">
      <c r="A2054" s="2"/>
      <c r="B2054" s="2"/>
      <c r="F2054" s="1"/>
      <c r="G2054" s="1"/>
      <c r="I2054" s="1"/>
      <c r="J2054" s="1"/>
      <c r="L2054" s="1"/>
      <c r="M2054" s="1"/>
      <c r="O2054" s="2"/>
      <c r="P2054" s="2"/>
    </row>
    <row r="2055" spans="1:16" x14ac:dyDescent="0.25">
      <c r="A2055" s="2"/>
      <c r="B2055" s="2"/>
      <c r="F2055" s="1"/>
      <c r="G2055" s="1"/>
      <c r="I2055" s="1"/>
      <c r="J2055" s="1"/>
      <c r="L2055" s="1"/>
      <c r="M2055" s="1"/>
      <c r="O2055" s="2"/>
      <c r="P2055" s="2"/>
    </row>
    <row r="2056" spans="1:16" x14ac:dyDescent="0.25">
      <c r="A2056" s="2"/>
      <c r="B2056" s="2"/>
      <c r="F2056" s="1"/>
      <c r="G2056" s="1"/>
      <c r="I2056" s="1"/>
      <c r="J2056" s="1"/>
      <c r="L2056" s="1"/>
      <c r="M2056" s="1"/>
      <c r="O2056" s="2"/>
      <c r="P2056" s="2"/>
    </row>
    <row r="2057" spans="1:16" x14ac:dyDescent="0.25">
      <c r="A2057" s="2"/>
      <c r="B2057" s="2"/>
      <c r="F2057" s="1"/>
      <c r="G2057" s="1"/>
      <c r="I2057" s="1"/>
      <c r="J2057" s="1"/>
      <c r="L2057" s="1"/>
      <c r="M2057" s="1"/>
      <c r="O2057" s="2"/>
      <c r="P2057" s="2"/>
    </row>
    <row r="2058" spans="1:16" x14ac:dyDescent="0.25">
      <c r="A2058" s="2"/>
      <c r="B2058" s="2"/>
      <c r="F2058" s="1"/>
      <c r="G2058" s="1"/>
      <c r="I2058" s="1"/>
      <c r="J2058" s="1"/>
      <c r="L2058" s="1"/>
      <c r="M2058" s="1"/>
      <c r="O2058" s="2"/>
      <c r="P2058" s="2"/>
    </row>
    <row r="2059" spans="1:16" x14ac:dyDescent="0.25">
      <c r="A2059" s="2"/>
      <c r="B2059" s="2"/>
      <c r="F2059" s="1"/>
      <c r="G2059" s="1"/>
      <c r="I2059" s="1"/>
      <c r="J2059" s="1"/>
      <c r="L2059" s="1"/>
      <c r="M2059" s="1"/>
      <c r="O2059" s="2"/>
      <c r="P2059" s="2"/>
    </row>
    <row r="2060" spans="1:16" x14ac:dyDescent="0.25">
      <c r="A2060" s="2"/>
      <c r="B2060" s="2"/>
      <c r="F2060" s="1"/>
      <c r="G2060" s="1"/>
      <c r="I2060" s="1"/>
      <c r="J2060" s="1"/>
      <c r="L2060" s="1"/>
      <c r="M2060" s="1"/>
      <c r="O2060" s="2"/>
      <c r="P2060" s="2"/>
    </row>
    <row r="2061" spans="1:16" x14ac:dyDescent="0.25">
      <c r="A2061" s="2"/>
      <c r="B2061" s="2"/>
      <c r="F2061" s="1"/>
      <c r="G2061" s="1"/>
      <c r="I2061" s="1"/>
      <c r="J2061" s="1"/>
      <c r="L2061" s="1"/>
      <c r="M2061" s="1"/>
      <c r="O2061" s="2"/>
      <c r="P2061" s="2"/>
    </row>
    <row r="2062" spans="1:16" x14ac:dyDescent="0.25">
      <c r="A2062" s="2"/>
      <c r="B2062" s="2"/>
      <c r="F2062" s="1"/>
      <c r="G2062" s="1"/>
      <c r="I2062" s="1"/>
      <c r="J2062" s="1"/>
      <c r="L2062" s="1"/>
      <c r="M2062" s="1"/>
      <c r="O2062" s="2"/>
      <c r="P2062" s="2"/>
    </row>
    <row r="2063" spans="1:16" x14ac:dyDescent="0.25">
      <c r="A2063" s="2"/>
      <c r="B2063" s="2"/>
      <c r="F2063" s="1"/>
      <c r="G2063" s="1"/>
      <c r="I2063" s="1"/>
      <c r="J2063" s="1"/>
      <c r="L2063" s="1"/>
      <c r="M2063" s="1"/>
      <c r="O2063" s="2"/>
      <c r="P2063" s="2"/>
    </row>
    <row r="2064" spans="1:16" x14ac:dyDescent="0.25">
      <c r="A2064" s="2"/>
      <c r="B2064" s="2"/>
      <c r="F2064" s="1"/>
      <c r="G2064" s="1"/>
      <c r="I2064" s="1"/>
      <c r="J2064" s="1"/>
      <c r="L2064" s="1"/>
      <c r="M2064" s="1"/>
      <c r="O2064" s="2"/>
      <c r="P2064" s="2"/>
    </row>
    <row r="2065" spans="1:16" x14ac:dyDescent="0.25">
      <c r="A2065" s="2"/>
      <c r="B2065" s="2"/>
      <c r="F2065" s="1"/>
      <c r="G2065" s="1"/>
      <c r="I2065" s="1"/>
      <c r="J2065" s="1"/>
      <c r="L2065" s="1"/>
      <c r="M2065" s="1"/>
      <c r="O2065" s="2"/>
      <c r="P2065" s="2"/>
    </row>
    <row r="2066" spans="1:16" x14ac:dyDescent="0.25">
      <c r="A2066" s="2"/>
      <c r="B2066" s="2"/>
      <c r="F2066" s="1"/>
      <c r="G2066" s="1"/>
      <c r="I2066" s="1"/>
      <c r="J2066" s="1"/>
      <c r="L2066" s="1"/>
      <c r="M2066" s="1"/>
      <c r="O2066" s="2"/>
      <c r="P2066" s="2"/>
    </row>
    <row r="2067" spans="1:16" x14ac:dyDescent="0.25">
      <c r="A2067" s="2"/>
      <c r="B2067" s="2"/>
      <c r="F2067" s="1"/>
      <c r="G2067" s="1"/>
      <c r="I2067" s="1"/>
      <c r="J2067" s="1"/>
      <c r="L2067" s="1"/>
      <c r="M2067" s="1"/>
      <c r="O2067" s="2"/>
      <c r="P2067" s="2"/>
    </row>
    <row r="2068" spans="1:16" x14ac:dyDescent="0.25">
      <c r="A2068" s="2"/>
      <c r="B2068" s="2"/>
      <c r="F2068" s="1"/>
      <c r="G2068" s="1"/>
      <c r="I2068" s="1"/>
      <c r="J2068" s="1"/>
      <c r="L2068" s="1"/>
      <c r="M2068" s="1"/>
      <c r="O2068" s="2"/>
      <c r="P2068" s="2"/>
    </row>
    <row r="2069" spans="1:16" x14ac:dyDescent="0.25">
      <c r="A2069" s="2"/>
      <c r="B2069" s="2"/>
      <c r="F2069" s="1"/>
      <c r="G2069" s="1"/>
      <c r="I2069" s="1"/>
      <c r="J2069" s="1"/>
      <c r="L2069" s="1"/>
      <c r="M2069" s="1"/>
      <c r="O2069" s="2"/>
      <c r="P2069" s="2"/>
    </row>
    <row r="2070" spans="1:16" x14ac:dyDescent="0.25">
      <c r="A2070" s="2"/>
      <c r="B2070" s="2"/>
      <c r="F2070" s="1"/>
      <c r="G2070" s="1"/>
      <c r="I2070" s="1"/>
      <c r="J2070" s="1"/>
      <c r="L2070" s="1"/>
      <c r="M2070" s="1"/>
      <c r="O2070" s="2"/>
      <c r="P2070" s="2"/>
    </row>
    <row r="2071" spans="1:16" x14ac:dyDescent="0.25">
      <c r="A2071" s="2"/>
      <c r="B2071" s="2"/>
      <c r="F2071" s="1"/>
      <c r="G2071" s="1"/>
      <c r="I2071" s="1"/>
      <c r="J2071" s="1"/>
      <c r="L2071" s="1"/>
      <c r="M2071" s="1"/>
      <c r="O2071" s="2"/>
      <c r="P2071" s="2"/>
    </row>
    <row r="2072" spans="1:16" x14ac:dyDescent="0.25">
      <c r="A2072" s="2"/>
      <c r="B2072" s="2"/>
      <c r="F2072" s="1"/>
      <c r="G2072" s="1"/>
      <c r="I2072" s="1"/>
      <c r="J2072" s="1"/>
      <c r="L2072" s="1"/>
      <c r="M2072" s="1"/>
      <c r="O2072" s="2"/>
      <c r="P2072" s="2"/>
    </row>
    <row r="2073" spans="1:16" x14ac:dyDescent="0.25">
      <c r="A2073" s="2"/>
      <c r="B2073" s="2"/>
      <c r="F2073" s="1"/>
      <c r="G2073" s="1"/>
      <c r="I2073" s="1"/>
      <c r="J2073" s="1"/>
      <c r="L2073" s="1"/>
      <c r="M2073" s="1"/>
      <c r="O2073" s="2"/>
      <c r="P2073" s="2"/>
    </row>
    <row r="2074" spans="1:16" x14ac:dyDescent="0.25">
      <c r="A2074" s="2"/>
      <c r="B2074" s="2"/>
      <c r="F2074" s="1"/>
      <c r="G2074" s="1"/>
      <c r="I2074" s="1"/>
      <c r="J2074" s="1"/>
      <c r="L2074" s="1"/>
      <c r="M2074" s="1"/>
      <c r="O2074" s="2"/>
      <c r="P2074" s="2"/>
    </row>
    <row r="2075" spans="1:16" x14ac:dyDescent="0.25">
      <c r="A2075" s="2"/>
      <c r="B2075" s="2"/>
      <c r="F2075" s="1"/>
      <c r="G2075" s="1"/>
      <c r="I2075" s="1"/>
      <c r="J2075" s="1"/>
      <c r="L2075" s="1"/>
      <c r="M2075" s="1"/>
      <c r="O2075" s="2"/>
      <c r="P2075" s="2"/>
    </row>
    <row r="2076" spans="1:16" x14ac:dyDescent="0.25">
      <c r="A2076" s="2"/>
      <c r="B2076" s="2"/>
      <c r="F2076" s="1"/>
      <c r="G2076" s="1"/>
      <c r="I2076" s="1"/>
      <c r="J2076" s="1"/>
      <c r="L2076" s="1"/>
      <c r="M2076" s="1"/>
      <c r="O2076" s="2"/>
      <c r="P2076" s="2"/>
    </row>
    <row r="2077" spans="1:16" x14ac:dyDescent="0.25">
      <c r="A2077" s="2"/>
      <c r="B2077" s="2"/>
      <c r="F2077" s="1"/>
      <c r="G2077" s="1"/>
      <c r="I2077" s="1"/>
      <c r="J2077" s="1"/>
      <c r="L2077" s="1"/>
      <c r="M2077" s="1"/>
      <c r="O2077" s="2"/>
      <c r="P2077" s="2"/>
    </row>
    <row r="2078" spans="1:16" x14ac:dyDescent="0.25">
      <c r="A2078" s="2"/>
      <c r="B2078" s="2"/>
      <c r="F2078" s="1"/>
      <c r="G2078" s="1"/>
      <c r="I2078" s="1"/>
      <c r="J2078" s="1"/>
      <c r="L2078" s="1"/>
      <c r="M2078" s="1"/>
      <c r="O2078" s="2"/>
      <c r="P2078" s="2"/>
    </row>
    <row r="2079" spans="1:16" x14ac:dyDescent="0.25">
      <c r="A2079" s="2"/>
      <c r="B2079" s="2"/>
      <c r="F2079" s="1"/>
      <c r="G2079" s="1"/>
      <c r="I2079" s="1"/>
      <c r="J2079" s="1"/>
      <c r="L2079" s="1"/>
      <c r="M2079" s="1"/>
      <c r="O2079" s="2"/>
      <c r="P2079" s="2"/>
    </row>
    <row r="2080" spans="1:16" x14ac:dyDescent="0.25">
      <c r="A2080" s="2"/>
      <c r="B2080" s="2"/>
      <c r="F2080" s="1"/>
      <c r="G2080" s="1"/>
      <c r="I2080" s="1"/>
      <c r="J2080" s="1"/>
      <c r="L2080" s="1"/>
      <c r="M2080" s="1"/>
      <c r="O2080" s="2"/>
      <c r="P2080" s="2"/>
    </row>
    <row r="2081" spans="1:16" x14ac:dyDescent="0.25">
      <c r="A2081" s="2"/>
      <c r="B2081" s="2"/>
      <c r="F2081" s="1"/>
      <c r="G2081" s="1"/>
      <c r="I2081" s="1"/>
      <c r="J2081" s="1"/>
      <c r="L2081" s="1"/>
      <c r="M2081" s="1"/>
      <c r="O2081" s="2"/>
      <c r="P2081" s="2"/>
    </row>
    <row r="2082" spans="1:16" x14ac:dyDescent="0.25">
      <c r="A2082" s="2"/>
      <c r="B2082" s="2"/>
      <c r="F2082" s="1"/>
      <c r="G2082" s="1"/>
      <c r="I2082" s="1"/>
      <c r="J2082" s="1"/>
      <c r="L2082" s="1"/>
      <c r="M2082" s="1"/>
      <c r="O2082" s="2"/>
      <c r="P2082" s="2"/>
    </row>
    <row r="2083" spans="1:16" x14ac:dyDescent="0.25">
      <c r="A2083" s="2"/>
      <c r="B2083" s="2"/>
      <c r="F2083" s="1"/>
      <c r="G2083" s="1"/>
      <c r="I2083" s="1"/>
      <c r="J2083" s="1"/>
      <c r="L2083" s="1"/>
      <c r="M2083" s="1"/>
      <c r="O2083" s="2"/>
      <c r="P2083" s="2"/>
    </row>
    <row r="2084" spans="1:16" x14ac:dyDescent="0.25">
      <c r="A2084" s="2"/>
      <c r="B2084" s="2"/>
      <c r="F2084" s="1"/>
      <c r="G2084" s="1"/>
      <c r="I2084" s="1"/>
      <c r="J2084" s="1"/>
      <c r="L2084" s="1"/>
      <c r="M2084" s="1"/>
      <c r="O2084" s="2"/>
      <c r="P2084" s="2"/>
    </row>
    <row r="2085" spans="1:16" x14ac:dyDescent="0.25">
      <c r="A2085" s="2"/>
      <c r="B2085" s="2"/>
      <c r="F2085" s="1"/>
      <c r="G2085" s="1"/>
      <c r="I2085" s="1"/>
      <c r="J2085" s="1"/>
      <c r="L2085" s="1"/>
      <c r="M2085" s="1"/>
      <c r="O2085" s="2"/>
      <c r="P2085" s="2"/>
    </row>
    <row r="2086" spans="1:16" x14ac:dyDescent="0.25">
      <c r="A2086" s="2"/>
      <c r="B2086" s="2"/>
      <c r="F2086" s="1"/>
      <c r="G2086" s="1"/>
      <c r="I2086" s="1"/>
      <c r="J2086" s="1"/>
      <c r="L2086" s="1"/>
      <c r="M2086" s="1"/>
      <c r="O2086" s="2"/>
      <c r="P2086" s="2"/>
    </row>
    <row r="2087" spans="1:16" x14ac:dyDescent="0.25">
      <c r="A2087" s="2"/>
      <c r="B2087" s="2"/>
      <c r="F2087" s="1"/>
      <c r="G2087" s="1"/>
      <c r="I2087" s="1"/>
      <c r="J2087" s="1"/>
      <c r="L2087" s="1"/>
      <c r="M2087" s="1"/>
      <c r="O2087" s="2"/>
      <c r="P2087" s="2"/>
    </row>
    <row r="2088" spans="1:16" x14ac:dyDescent="0.25">
      <c r="A2088" s="2"/>
      <c r="B2088" s="2"/>
      <c r="F2088" s="1"/>
      <c r="G2088" s="1"/>
      <c r="I2088" s="1"/>
      <c r="J2088" s="1"/>
      <c r="L2088" s="1"/>
      <c r="M2088" s="1"/>
      <c r="O2088" s="2"/>
      <c r="P2088" s="2"/>
    </row>
    <row r="2089" spans="1:16" x14ac:dyDescent="0.25">
      <c r="A2089" s="2"/>
      <c r="B2089" s="2"/>
      <c r="F2089" s="1"/>
      <c r="G2089" s="1"/>
      <c r="I2089" s="1"/>
      <c r="J2089" s="1"/>
      <c r="L2089" s="1"/>
      <c r="M2089" s="1"/>
      <c r="O2089" s="2"/>
      <c r="P2089" s="2"/>
    </row>
    <row r="2090" spans="1:16" x14ac:dyDescent="0.25">
      <c r="A2090" s="2"/>
      <c r="B2090" s="2"/>
      <c r="F2090" s="1"/>
      <c r="G2090" s="1"/>
      <c r="I2090" s="1"/>
      <c r="J2090" s="1"/>
      <c r="L2090" s="1"/>
      <c r="M2090" s="1"/>
      <c r="O2090" s="2"/>
      <c r="P2090" s="2"/>
    </row>
    <row r="2091" spans="1:16" x14ac:dyDescent="0.25">
      <c r="A2091" s="2"/>
      <c r="B2091" s="2"/>
      <c r="F2091" s="1"/>
      <c r="G2091" s="1"/>
      <c r="I2091" s="1"/>
      <c r="J2091" s="1"/>
      <c r="L2091" s="1"/>
      <c r="M2091" s="1"/>
      <c r="O2091" s="2"/>
      <c r="P2091" s="2"/>
    </row>
    <row r="2092" spans="1:16" x14ac:dyDescent="0.25">
      <c r="A2092" s="2"/>
      <c r="B2092" s="2"/>
      <c r="F2092" s="1"/>
      <c r="G2092" s="1"/>
      <c r="I2092" s="1"/>
      <c r="J2092" s="1"/>
      <c r="L2092" s="1"/>
      <c r="M2092" s="1"/>
      <c r="O2092" s="2"/>
      <c r="P2092" s="2"/>
    </row>
    <row r="2093" spans="1:16" x14ac:dyDescent="0.25">
      <c r="A2093" s="2"/>
      <c r="B2093" s="2"/>
      <c r="F2093" s="1"/>
      <c r="G2093" s="1"/>
      <c r="I2093" s="1"/>
      <c r="J2093" s="1"/>
      <c r="L2093" s="1"/>
      <c r="M2093" s="1"/>
      <c r="O2093" s="2"/>
      <c r="P2093" s="2"/>
    </row>
    <row r="2094" spans="1:16" x14ac:dyDescent="0.25">
      <c r="A2094" s="2"/>
      <c r="B2094" s="2"/>
      <c r="F2094" s="1"/>
      <c r="G2094" s="1"/>
      <c r="I2094" s="1"/>
      <c r="J2094" s="1"/>
      <c r="L2094" s="1"/>
      <c r="M2094" s="1"/>
      <c r="O2094" s="2"/>
      <c r="P2094" s="2"/>
    </row>
    <row r="2095" spans="1:16" x14ac:dyDescent="0.25">
      <c r="A2095" s="2"/>
      <c r="B2095" s="2"/>
      <c r="F2095" s="1"/>
      <c r="G2095" s="1"/>
      <c r="I2095" s="1"/>
      <c r="J2095" s="1"/>
      <c r="L2095" s="1"/>
      <c r="M2095" s="1"/>
      <c r="O2095" s="2"/>
      <c r="P2095" s="2"/>
    </row>
    <row r="2096" spans="1:16" x14ac:dyDescent="0.25">
      <c r="A2096" s="2"/>
      <c r="B2096" s="2"/>
      <c r="F2096" s="1"/>
      <c r="G2096" s="1"/>
      <c r="I2096" s="1"/>
      <c r="J2096" s="1"/>
      <c r="L2096" s="1"/>
      <c r="M2096" s="1"/>
      <c r="O2096" s="2"/>
      <c r="P2096" s="2"/>
    </row>
    <row r="2097" spans="1:16" x14ac:dyDescent="0.25">
      <c r="A2097" s="2"/>
      <c r="B2097" s="2"/>
      <c r="F2097" s="1"/>
      <c r="G2097" s="1"/>
      <c r="I2097" s="1"/>
      <c r="J2097" s="1"/>
      <c r="L2097" s="1"/>
      <c r="M2097" s="1"/>
      <c r="O2097" s="2"/>
      <c r="P2097" s="2"/>
    </row>
    <row r="2098" spans="1:16" x14ac:dyDescent="0.25">
      <c r="A2098" s="2"/>
      <c r="B2098" s="2"/>
      <c r="F2098" s="1"/>
      <c r="G2098" s="1"/>
      <c r="I2098" s="1"/>
      <c r="J2098" s="1"/>
      <c r="L2098" s="1"/>
      <c r="M2098" s="1"/>
      <c r="O2098" s="2"/>
      <c r="P2098" s="2"/>
    </row>
    <row r="2099" spans="1:16" x14ac:dyDescent="0.25">
      <c r="A2099" s="2"/>
      <c r="B2099" s="2"/>
      <c r="F2099" s="1"/>
      <c r="G2099" s="1"/>
      <c r="I2099" s="1"/>
      <c r="J2099" s="1"/>
      <c r="L2099" s="1"/>
      <c r="M2099" s="1"/>
      <c r="O2099" s="2"/>
      <c r="P2099" s="2"/>
    </row>
    <row r="2100" spans="1:16" x14ac:dyDescent="0.25">
      <c r="A2100" s="2"/>
      <c r="B2100" s="2"/>
      <c r="F2100" s="1"/>
      <c r="G2100" s="1"/>
      <c r="I2100" s="1"/>
      <c r="J2100" s="1"/>
      <c r="L2100" s="1"/>
      <c r="M2100" s="1"/>
      <c r="O2100" s="2"/>
      <c r="P2100" s="2"/>
    </row>
    <row r="2101" spans="1:16" x14ac:dyDescent="0.25">
      <c r="A2101" s="2"/>
      <c r="B2101" s="2"/>
      <c r="F2101" s="1"/>
      <c r="G2101" s="1"/>
      <c r="I2101" s="1"/>
      <c r="J2101" s="1"/>
      <c r="L2101" s="1"/>
      <c r="M2101" s="1"/>
      <c r="O2101" s="2"/>
      <c r="P2101" s="2"/>
    </row>
    <row r="2102" spans="1:16" x14ac:dyDescent="0.25">
      <c r="A2102" s="2"/>
      <c r="B2102" s="2"/>
      <c r="F2102" s="1"/>
      <c r="G2102" s="1"/>
      <c r="I2102" s="1"/>
      <c r="J2102" s="1"/>
      <c r="L2102" s="1"/>
      <c r="M2102" s="1"/>
      <c r="O2102" s="2"/>
      <c r="P2102" s="2"/>
    </row>
    <row r="2103" spans="1:16" x14ac:dyDescent="0.25">
      <c r="A2103" s="2"/>
      <c r="B2103" s="2"/>
      <c r="F2103" s="1"/>
      <c r="G2103" s="1"/>
      <c r="I2103" s="1"/>
      <c r="J2103" s="1"/>
      <c r="L2103" s="1"/>
      <c r="M2103" s="1"/>
      <c r="O2103" s="2"/>
      <c r="P2103" s="2"/>
    </row>
    <row r="2104" spans="1:16" x14ac:dyDescent="0.25">
      <c r="A2104" s="2"/>
      <c r="B2104" s="2"/>
      <c r="F2104" s="1"/>
      <c r="G2104" s="1"/>
      <c r="I2104" s="1"/>
      <c r="J2104" s="1"/>
      <c r="L2104" s="1"/>
      <c r="M2104" s="1"/>
      <c r="O2104" s="2"/>
      <c r="P2104" s="2"/>
    </row>
    <row r="2105" spans="1:16" x14ac:dyDescent="0.25">
      <c r="A2105" s="2"/>
      <c r="B2105" s="2"/>
      <c r="F2105" s="1"/>
      <c r="G2105" s="1"/>
      <c r="I2105" s="1"/>
      <c r="J2105" s="1"/>
      <c r="L2105" s="1"/>
      <c r="M2105" s="1"/>
      <c r="O2105" s="2"/>
      <c r="P2105" s="2"/>
    </row>
    <row r="2106" spans="1:16" x14ac:dyDescent="0.25">
      <c r="A2106" s="2"/>
      <c r="B2106" s="2"/>
      <c r="F2106" s="1"/>
      <c r="G2106" s="1"/>
      <c r="I2106" s="1"/>
      <c r="J2106" s="1"/>
      <c r="L2106" s="1"/>
      <c r="M2106" s="1"/>
      <c r="O2106" s="2"/>
      <c r="P2106" s="2"/>
    </row>
    <row r="2107" spans="1:16" x14ac:dyDescent="0.25">
      <c r="A2107" s="2"/>
      <c r="B2107" s="2"/>
      <c r="F2107" s="1"/>
      <c r="G2107" s="1"/>
      <c r="I2107" s="1"/>
      <c r="J2107" s="1"/>
      <c r="L2107" s="1"/>
      <c r="M2107" s="1"/>
      <c r="O2107" s="2"/>
      <c r="P2107" s="2"/>
    </row>
    <row r="2108" spans="1:16" x14ac:dyDescent="0.25">
      <c r="A2108" s="2"/>
      <c r="B2108" s="2"/>
      <c r="F2108" s="1"/>
      <c r="G2108" s="1"/>
      <c r="I2108" s="1"/>
      <c r="J2108" s="1"/>
      <c r="L2108" s="1"/>
      <c r="M2108" s="1"/>
      <c r="O2108" s="2"/>
      <c r="P2108" s="2"/>
    </row>
    <row r="2109" spans="1:16" x14ac:dyDescent="0.25">
      <c r="A2109" s="2"/>
      <c r="B2109" s="2"/>
      <c r="F2109" s="1"/>
      <c r="G2109" s="1"/>
      <c r="I2109" s="1"/>
      <c r="J2109" s="1"/>
      <c r="L2109" s="1"/>
      <c r="M2109" s="1"/>
      <c r="O2109" s="2"/>
      <c r="P2109" s="2"/>
    </row>
    <row r="2110" spans="1:16" x14ac:dyDescent="0.25">
      <c r="A2110" s="2"/>
      <c r="B2110" s="2"/>
      <c r="F2110" s="1"/>
      <c r="G2110" s="1"/>
      <c r="I2110" s="1"/>
      <c r="J2110" s="1"/>
      <c r="L2110" s="1"/>
      <c r="M2110" s="1"/>
      <c r="O2110" s="2"/>
      <c r="P2110" s="2"/>
    </row>
    <row r="2111" spans="1:16" x14ac:dyDescent="0.25">
      <c r="A2111" s="2"/>
      <c r="B2111" s="2"/>
      <c r="F2111" s="1"/>
      <c r="G2111" s="1"/>
      <c r="I2111" s="1"/>
      <c r="J2111" s="1"/>
      <c r="L2111" s="1"/>
      <c r="M2111" s="1"/>
      <c r="O2111" s="2"/>
      <c r="P2111" s="2"/>
    </row>
    <row r="2112" spans="1:16" x14ac:dyDescent="0.25">
      <c r="A2112" s="2"/>
      <c r="B2112" s="2"/>
      <c r="F2112" s="1"/>
      <c r="G2112" s="1"/>
      <c r="I2112" s="1"/>
      <c r="J2112" s="1"/>
      <c r="L2112" s="1"/>
      <c r="M2112" s="1"/>
      <c r="O2112" s="2"/>
      <c r="P2112" s="2"/>
    </row>
    <row r="2113" spans="1:16" x14ac:dyDescent="0.25">
      <c r="A2113" s="2"/>
      <c r="B2113" s="2"/>
      <c r="F2113" s="1"/>
      <c r="G2113" s="1"/>
      <c r="I2113" s="1"/>
      <c r="J2113" s="1"/>
      <c r="L2113" s="1"/>
      <c r="M2113" s="1"/>
      <c r="O2113" s="2"/>
      <c r="P2113" s="2"/>
    </row>
    <row r="2114" spans="1:16" x14ac:dyDescent="0.25">
      <c r="A2114" s="2"/>
      <c r="B2114" s="2"/>
      <c r="F2114" s="1"/>
      <c r="G2114" s="1"/>
      <c r="I2114" s="1"/>
      <c r="J2114" s="1"/>
      <c r="L2114" s="1"/>
      <c r="M2114" s="1"/>
      <c r="O2114" s="2"/>
      <c r="P2114" s="2"/>
    </row>
    <row r="2115" spans="1:16" x14ac:dyDescent="0.25">
      <c r="A2115" s="2"/>
      <c r="B2115" s="2"/>
      <c r="F2115" s="1"/>
      <c r="G2115" s="1"/>
      <c r="I2115" s="1"/>
      <c r="J2115" s="1"/>
      <c r="L2115" s="1"/>
      <c r="M2115" s="1"/>
      <c r="O2115" s="2"/>
      <c r="P2115" s="2"/>
    </row>
    <row r="2116" spans="1:16" x14ac:dyDescent="0.25">
      <c r="A2116" s="2"/>
      <c r="B2116" s="2"/>
      <c r="F2116" s="1"/>
      <c r="G2116" s="1"/>
      <c r="I2116" s="1"/>
      <c r="J2116" s="1"/>
      <c r="L2116" s="1"/>
      <c r="M2116" s="1"/>
      <c r="O2116" s="2"/>
      <c r="P2116" s="2"/>
    </row>
    <row r="2117" spans="1:16" x14ac:dyDescent="0.25">
      <c r="A2117" s="2"/>
      <c r="B2117" s="2"/>
      <c r="F2117" s="1"/>
      <c r="G2117" s="1"/>
      <c r="I2117" s="1"/>
      <c r="J2117" s="1"/>
      <c r="L2117" s="1"/>
      <c r="M2117" s="1"/>
      <c r="O2117" s="2"/>
      <c r="P2117" s="2"/>
    </row>
    <row r="2118" spans="1:16" x14ac:dyDescent="0.25">
      <c r="A2118" s="2"/>
      <c r="B2118" s="2"/>
      <c r="F2118" s="1"/>
      <c r="G2118" s="1"/>
      <c r="I2118" s="1"/>
      <c r="J2118" s="1"/>
      <c r="L2118" s="1"/>
      <c r="M2118" s="1"/>
      <c r="O2118" s="2"/>
      <c r="P2118" s="2"/>
    </row>
    <row r="2119" spans="1:16" x14ac:dyDescent="0.25">
      <c r="A2119" s="2"/>
      <c r="B2119" s="2"/>
      <c r="F2119" s="1"/>
      <c r="G2119" s="1"/>
      <c r="I2119" s="1"/>
      <c r="J2119" s="1"/>
      <c r="L2119" s="1"/>
      <c r="M2119" s="1"/>
      <c r="O2119" s="2"/>
      <c r="P2119" s="2"/>
    </row>
    <row r="2120" spans="1:16" x14ac:dyDescent="0.25">
      <c r="A2120" s="2"/>
      <c r="B2120" s="2"/>
      <c r="F2120" s="1"/>
      <c r="G2120" s="1"/>
      <c r="I2120" s="1"/>
      <c r="J2120" s="1"/>
      <c r="L2120" s="1"/>
      <c r="M2120" s="1"/>
      <c r="O2120" s="2"/>
      <c r="P2120" s="2"/>
    </row>
    <row r="2121" spans="1:16" x14ac:dyDescent="0.25">
      <c r="A2121" s="2"/>
      <c r="B2121" s="2"/>
      <c r="F2121" s="1"/>
      <c r="G2121" s="1"/>
      <c r="I2121" s="1"/>
      <c r="J2121" s="1"/>
      <c r="L2121" s="1"/>
      <c r="M2121" s="1"/>
      <c r="O2121" s="2"/>
      <c r="P2121" s="2"/>
    </row>
    <row r="2122" spans="1:16" x14ac:dyDescent="0.25">
      <c r="A2122" s="2"/>
      <c r="B2122" s="2"/>
      <c r="F2122" s="1"/>
      <c r="G2122" s="1"/>
      <c r="I2122" s="1"/>
      <c r="J2122" s="1"/>
      <c r="L2122" s="1"/>
      <c r="M2122" s="1"/>
      <c r="O2122" s="2"/>
      <c r="P2122" s="2"/>
    </row>
    <row r="2123" spans="1:16" x14ac:dyDescent="0.25">
      <c r="A2123" s="2"/>
      <c r="B2123" s="2"/>
      <c r="F2123" s="1"/>
      <c r="G2123" s="1"/>
      <c r="I2123" s="1"/>
      <c r="J2123" s="1"/>
      <c r="L2123" s="1"/>
      <c r="M2123" s="1"/>
      <c r="O2123" s="2"/>
      <c r="P2123" s="2"/>
    </row>
    <row r="2124" spans="1:16" x14ac:dyDescent="0.25">
      <c r="A2124" s="2"/>
      <c r="B2124" s="2"/>
      <c r="F2124" s="1"/>
      <c r="G2124" s="1"/>
      <c r="I2124" s="1"/>
      <c r="J2124" s="1"/>
      <c r="L2124" s="1"/>
      <c r="M2124" s="1"/>
      <c r="O2124" s="2"/>
      <c r="P2124" s="2"/>
    </row>
    <row r="2125" spans="1:16" x14ac:dyDescent="0.25">
      <c r="A2125" s="2"/>
      <c r="B2125" s="2"/>
      <c r="F2125" s="1"/>
      <c r="G2125" s="1"/>
      <c r="I2125" s="1"/>
      <c r="J2125" s="1"/>
      <c r="L2125" s="1"/>
      <c r="M2125" s="1"/>
      <c r="O2125" s="2"/>
      <c r="P2125" s="2"/>
    </row>
    <row r="2126" spans="1:16" x14ac:dyDescent="0.25">
      <c r="A2126" s="2"/>
      <c r="B2126" s="2"/>
      <c r="F2126" s="1"/>
      <c r="G2126" s="1"/>
      <c r="I2126" s="1"/>
      <c r="J2126" s="1"/>
      <c r="L2126" s="1"/>
      <c r="M2126" s="1"/>
      <c r="O2126" s="2"/>
      <c r="P2126" s="2"/>
    </row>
    <row r="2127" spans="1:16" x14ac:dyDescent="0.25">
      <c r="A2127" s="2"/>
      <c r="B2127" s="2"/>
      <c r="F2127" s="1"/>
      <c r="G2127" s="1"/>
      <c r="I2127" s="1"/>
      <c r="J2127" s="1"/>
      <c r="L2127" s="1"/>
      <c r="M2127" s="1"/>
      <c r="O2127" s="2"/>
      <c r="P2127" s="2"/>
    </row>
    <row r="2128" spans="1:16" x14ac:dyDescent="0.25">
      <c r="A2128" s="2"/>
      <c r="B2128" s="2"/>
      <c r="F2128" s="1"/>
      <c r="G2128" s="1"/>
      <c r="I2128" s="1"/>
      <c r="J2128" s="1"/>
      <c r="L2128" s="1"/>
      <c r="M2128" s="1"/>
      <c r="O2128" s="2"/>
      <c r="P2128" s="2"/>
    </row>
    <row r="2129" spans="1:16" x14ac:dyDescent="0.25">
      <c r="A2129" s="2"/>
      <c r="B2129" s="2"/>
      <c r="F2129" s="1"/>
      <c r="G2129" s="1"/>
      <c r="I2129" s="1"/>
      <c r="J2129" s="1"/>
      <c r="L2129" s="1"/>
      <c r="M2129" s="1"/>
      <c r="O2129" s="2"/>
      <c r="P2129" s="2"/>
    </row>
    <row r="2130" spans="1:16" x14ac:dyDescent="0.25">
      <c r="A2130" s="2"/>
      <c r="B2130" s="2"/>
      <c r="F2130" s="1"/>
      <c r="G2130" s="1"/>
      <c r="I2130" s="1"/>
      <c r="J2130" s="1"/>
      <c r="L2130" s="1"/>
      <c r="M2130" s="1"/>
      <c r="O2130" s="2"/>
      <c r="P2130" s="2"/>
    </row>
    <row r="2131" spans="1:16" x14ac:dyDescent="0.25">
      <c r="A2131" s="2"/>
      <c r="B2131" s="2"/>
      <c r="F2131" s="1"/>
      <c r="G2131" s="1"/>
      <c r="I2131" s="1"/>
      <c r="J2131" s="1"/>
      <c r="L2131" s="1"/>
      <c r="M2131" s="1"/>
      <c r="O2131" s="2"/>
      <c r="P2131" s="2"/>
    </row>
    <row r="2132" spans="1:16" x14ac:dyDescent="0.25">
      <c r="A2132" s="2"/>
      <c r="B2132" s="2"/>
      <c r="F2132" s="1"/>
      <c r="G2132" s="1"/>
      <c r="I2132" s="1"/>
      <c r="J2132" s="1"/>
      <c r="L2132" s="1"/>
      <c r="M2132" s="1"/>
      <c r="O2132" s="2"/>
      <c r="P2132" s="2"/>
    </row>
    <row r="2133" spans="1:16" x14ac:dyDescent="0.25">
      <c r="A2133" s="2"/>
      <c r="B2133" s="2"/>
      <c r="F2133" s="1"/>
      <c r="G2133" s="1"/>
      <c r="I2133" s="1"/>
      <c r="J2133" s="1"/>
      <c r="L2133" s="1"/>
      <c r="M2133" s="1"/>
      <c r="O2133" s="2"/>
      <c r="P2133" s="2"/>
    </row>
    <row r="2134" spans="1:16" x14ac:dyDescent="0.25">
      <c r="A2134" s="2"/>
      <c r="B2134" s="2"/>
      <c r="F2134" s="1"/>
      <c r="G2134" s="1"/>
      <c r="I2134" s="1"/>
      <c r="J2134" s="1"/>
      <c r="L2134" s="1"/>
      <c r="M2134" s="1"/>
      <c r="O2134" s="2"/>
      <c r="P2134" s="2"/>
    </row>
    <row r="2135" spans="1:16" x14ac:dyDescent="0.25">
      <c r="A2135" s="2"/>
      <c r="B2135" s="2"/>
      <c r="F2135" s="1"/>
      <c r="G2135" s="1"/>
      <c r="I2135" s="1"/>
      <c r="J2135" s="1"/>
      <c r="L2135" s="1"/>
      <c r="M2135" s="1"/>
      <c r="O2135" s="2"/>
      <c r="P2135" s="2"/>
    </row>
    <row r="2136" spans="1:16" x14ac:dyDescent="0.25">
      <c r="A2136" s="2"/>
      <c r="B2136" s="2"/>
      <c r="F2136" s="1"/>
      <c r="G2136" s="1"/>
      <c r="I2136" s="1"/>
      <c r="J2136" s="1"/>
      <c r="L2136" s="1"/>
      <c r="M2136" s="1"/>
      <c r="O2136" s="2"/>
      <c r="P2136" s="2"/>
    </row>
    <row r="2137" spans="1:16" x14ac:dyDescent="0.25">
      <c r="A2137" s="2"/>
      <c r="B2137" s="2"/>
      <c r="F2137" s="1"/>
      <c r="G2137" s="1"/>
      <c r="I2137" s="1"/>
      <c r="J2137" s="1"/>
      <c r="L2137" s="1"/>
      <c r="M2137" s="1"/>
      <c r="O2137" s="2"/>
      <c r="P2137" s="2"/>
    </row>
    <row r="2138" spans="1:16" x14ac:dyDescent="0.25">
      <c r="A2138" s="2"/>
      <c r="B2138" s="2"/>
      <c r="F2138" s="1"/>
      <c r="G2138" s="1"/>
      <c r="I2138" s="1"/>
      <c r="J2138" s="1"/>
      <c r="L2138" s="1"/>
      <c r="M2138" s="1"/>
      <c r="O2138" s="2"/>
      <c r="P2138" s="2"/>
    </row>
    <row r="2139" spans="1:16" x14ac:dyDescent="0.25">
      <c r="A2139" s="2"/>
      <c r="B2139" s="2"/>
      <c r="F2139" s="1"/>
      <c r="G2139" s="1"/>
      <c r="I2139" s="1"/>
      <c r="J2139" s="1"/>
      <c r="L2139" s="1"/>
      <c r="M2139" s="1"/>
      <c r="O2139" s="2"/>
      <c r="P2139" s="2"/>
    </row>
    <row r="2140" spans="1:16" x14ac:dyDescent="0.25">
      <c r="A2140" s="2"/>
      <c r="B2140" s="2"/>
      <c r="F2140" s="1"/>
      <c r="G2140" s="1"/>
      <c r="I2140" s="1"/>
      <c r="J2140" s="1"/>
      <c r="L2140" s="1"/>
      <c r="M2140" s="1"/>
      <c r="O2140" s="2"/>
      <c r="P2140" s="2"/>
    </row>
    <row r="2141" spans="1:16" x14ac:dyDescent="0.25">
      <c r="A2141" s="2"/>
      <c r="B2141" s="2"/>
      <c r="F2141" s="1"/>
      <c r="G2141" s="1"/>
      <c r="I2141" s="1"/>
      <c r="J2141" s="1"/>
      <c r="L2141" s="1"/>
      <c r="M2141" s="1"/>
      <c r="O2141" s="2"/>
      <c r="P2141" s="2"/>
    </row>
    <row r="2142" spans="1:16" x14ac:dyDescent="0.25">
      <c r="A2142" s="2"/>
      <c r="B2142" s="2"/>
      <c r="F2142" s="1"/>
      <c r="G2142" s="1"/>
      <c r="I2142" s="1"/>
      <c r="J2142" s="1"/>
      <c r="L2142" s="1"/>
      <c r="M2142" s="1"/>
      <c r="O2142" s="2"/>
      <c r="P2142" s="2"/>
    </row>
    <row r="2143" spans="1:16" x14ac:dyDescent="0.25">
      <c r="A2143" s="2"/>
      <c r="B2143" s="2"/>
      <c r="F2143" s="1"/>
      <c r="G2143" s="1"/>
      <c r="I2143" s="1"/>
      <c r="J2143" s="1"/>
      <c r="L2143" s="1"/>
      <c r="M2143" s="1"/>
      <c r="O2143" s="2"/>
      <c r="P2143" s="2"/>
    </row>
    <row r="2144" spans="1:16" x14ac:dyDescent="0.25">
      <c r="A2144" s="2"/>
      <c r="B2144" s="2"/>
      <c r="F2144" s="1"/>
      <c r="G2144" s="1"/>
      <c r="I2144" s="1"/>
      <c r="J2144" s="1"/>
      <c r="L2144" s="1"/>
      <c r="M2144" s="1"/>
      <c r="O2144" s="2"/>
      <c r="P2144" s="2"/>
    </row>
    <row r="2145" spans="1:16" x14ac:dyDescent="0.25">
      <c r="A2145" s="2"/>
      <c r="B2145" s="2"/>
      <c r="F2145" s="1"/>
      <c r="G2145" s="1"/>
      <c r="I2145" s="1"/>
      <c r="J2145" s="1"/>
      <c r="L2145" s="1"/>
      <c r="M2145" s="1"/>
      <c r="O2145" s="2"/>
      <c r="P2145" s="2"/>
    </row>
    <row r="2146" spans="1:16" x14ac:dyDescent="0.25">
      <c r="A2146" s="2"/>
      <c r="B2146" s="2"/>
      <c r="F2146" s="1"/>
      <c r="G2146" s="1"/>
      <c r="I2146" s="1"/>
      <c r="J2146" s="1"/>
      <c r="L2146" s="1"/>
      <c r="M2146" s="1"/>
      <c r="O2146" s="2"/>
      <c r="P2146" s="2"/>
    </row>
    <row r="2147" spans="1:16" x14ac:dyDescent="0.25">
      <c r="A2147" s="2"/>
      <c r="B2147" s="2"/>
      <c r="F2147" s="1"/>
      <c r="G2147" s="1"/>
      <c r="I2147" s="1"/>
      <c r="J2147" s="1"/>
      <c r="L2147" s="1"/>
      <c r="M2147" s="1"/>
      <c r="O2147" s="2"/>
      <c r="P2147" s="2"/>
    </row>
    <row r="2148" spans="1:16" x14ac:dyDescent="0.25">
      <c r="A2148" s="2"/>
      <c r="B2148" s="2"/>
      <c r="F2148" s="1"/>
      <c r="G2148" s="1"/>
      <c r="I2148" s="1"/>
      <c r="J2148" s="1"/>
      <c r="L2148" s="1"/>
      <c r="M2148" s="1"/>
      <c r="O2148" s="2"/>
      <c r="P2148" s="2"/>
    </row>
    <row r="2149" spans="1:16" x14ac:dyDescent="0.25">
      <c r="A2149" s="2"/>
      <c r="B2149" s="2"/>
      <c r="F2149" s="1"/>
      <c r="G2149" s="1"/>
      <c r="I2149" s="1"/>
      <c r="J2149" s="1"/>
      <c r="L2149" s="1"/>
      <c r="M2149" s="1"/>
      <c r="O2149" s="2"/>
      <c r="P2149" s="2"/>
    </row>
    <row r="2150" spans="1:16" x14ac:dyDescent="0.25">
      <c r="A2150" s="2"/>
      <c r="B2150" s="2"/>
      <c r="F2150" s="1"/>
      <c r="G2150" s="1"/>
      <c r="I2150" s="1"/>
      <c r="J2150" s="1"/>
      <c r="L2150" s="1"/>
      <c r="M2150" s="1"/>
      <c r="O2150" s="2"/>
      <c r="P2150" s="2"/>
    </row>
    <row r="2151" spans="1:16" x14ac:dyDescent="0.25">
      <c r="A2151" s="2"/>
      <c r="B2151" s="2"/>
      <c r="F2151" s="1"/>
      <c r="G2151" s="1"/>
      <c r="I2151" s="1"/>
      <c r="J2151" s="1"/>
      <c r="L2151" s="1"/>
      <c r="M2151" s="1"/>
      <c r="O2151" s="2"/>
      <c r="P2151" s="2"/>
    </row>
    <row r="2152" spans="1:16" x14ac:dyDescent="0.25">
      <c r="A2152" s="2"/>
      <c r="B2152" s="2"/>
      <c r="F2152" s="1"/>
      <c r="G2152" s="1"/>
      <c r="I2152" s="1"/>
      <c r="J2152" s="1"/>
      <c r="L2152" s="1"/>
      <c r="M2152" s="1"/>
      <c r="O2152" s="2"/>
      <c r="P2152" s="2"/>
    </row>
    <row r="2153" spans="1:16" x14ac:dyDescent="0.25">
      <c r="A2153" s="2"/>
      <c r="B2153" s="2"/>
      <c r="F2153" s="1"/>
      <c r="G2153" s="1"/>
      <c r="I2153" s="1"/>
      <c r="J2153" s="1"/>
      <c r="L2153" s="1"/>
      <c r="M2153" s="1"/>
      <c r="O2153" s="2"/>
      <c r="P2153" s="2"/>
    </row>
    <row r="2154" spans="1:16" x14ac:dyDescent="0.25">
      <c r="A2154" s="2"/>
      <c r="B2154" s="2"/>
      <c r="F2154" s="1"/>
      <c r="G2154" s="1"/>
      <c r="I2154" s="1"/>
      <c r="J2154" s="1"/>
      <c r="L2154" s="1"/>
      <c r="M2154" s="1"/>
      <c r="O2154" s="2"/>
      <c r="P2154" s="2"/>
    </row>
    <row r="2155" spans="1:16" x14ac:dyDescent="0.25">
      <c r="A2155" s="2"/>
      <c r="B2155" s="2"/>
      <c r="F2155" s="1"/>
      <c r="G2155" s="1"/>
      <c r="I2155" s="1"/>
      <c r="J2155" s="1"/>
      <c r="L2155" s="1"/>
      <c r="M2155" s="1"/>
      <c r="O2155" s="2"/>
      <c r="P2155" s="2"/>
    </row>
    <row r="2156" spans="1:16" x14ac:dyDescent="0.25">
      <c r="A2156" s="2"/>
      <c r="B2156" s="2"/>
      <c r="F2156" s="1"/>
      <c r="G2156" s="1"/>
      <c r="I2156" s="1"/>
      <c r="J2156" s="1"/>
      <c r="L2156" s="1"/>
      <c r="M2156" s="1"/>
      <c r="O2156" s="2"/>
      <c r="P2156" s="2"/>
    </row>
    <row r="2157" spans="1:16" x14ac:dyDescent="0.25">
      <c r="A2157" s="2"/>
      <c r="B2157" s="2"/>
      <c r="F2157" s="1"/>
      <c r="G2157" s="1"/>
      <c r="I2157" s="1"/>
      <c r="J2157" s="1"/>
      <c r="L2157" s="1"/>
      <c r="M2157" s="1"/>
      <c r="O2157" s="2"/>
      <c r="P2157" s="2"/>
    </row>
    <row r="2158" spans="1:16" x14ac:dyDescent="0.25">
      <c r="A2158" s="2"/>
      <c r="B2158" s="2"/>
      <c r="F2158" s="1"/>
      <c r="G2158" s="1"/>
      <c r="I2158" s="1"/>
      <c r="J2158" s="1"/>
      <c r="L2158" s="1"/>
      <c r="M2158" s="1"/>
      <c r="O2158" s="2"/>
      <c r="P2158" s="2"/>
    </row>
    <row r="2159" spans="1:16" x14ac:dyDescent="0.25">
      <c r="A2159" s="2"/>
      <c r="B2159" s="2"/>
      <c r="F2159" s="1"/>
      <c r="G2159" s="1"/>
      <c r="I2159" s="1"/>
      <c r="J2159" s="1"/>
      <c r="L2159" s="1"/>
      <c r="M2159" s="1"/>
      <c r="O2159" s="2"/>
      <c r="P2159" s="2"/>
    </row>
    <row r="2160" spans="1:16" x14ac:dyDescent="0.25">
      <c r="A2160" s="2"/>
      <c r="B2160" s="2"/>
      <c r="F2160" s="1"/>
      <c r="G2160" s="1"/>
      <c r="I2160" s="1"/>
      <c r="J2160" s="1"/>
      <c r="L2160" s="1"/>
      <c r="M2160" s="1"/>
      <c r="O2160" s="2"/>
      <c r="P2160" s="2"/>
    </row>
    <row r="2161" spans="1:16" x14ac:dyDescent="0.25">
      <c r="A2161" s="2"/>
      <c r="B2161" s="2"/>
      <c r="F2161" s="1"/>
      <c r="G2161" s="1"/>
      <c r="I2161" s="1"/>
      <c r="J2161" s="1"/>
      <c r="L2161" s="1"/>
      <c r="M2161" s="1"/>
      <c r="O2161" s="2"/>
      <c r="P2161" s="2"/>
    </row>
    <row r="2162" spans="1:16" x14ac:dyDescent="0.25">
      <c r="A2162" s="2"/>
      <c r="B2162" s="2"/>
      <c r="F2162" s="1"/>
      <c r="G2162" s="1"/>
      <c r="I2162" s="1"/>
      <c r="J2162" s="1"/>
      <c r="L2162" s="1"/>
      <c r="M2162" s="1"/>
      <c r="O2162" s="2"/>
      <c r="P2162" s="2"/>
    </row>
    <row r="2163" spans="1:16" x14ac:dyDescent="0.25">
      <c r="A2163" s="2"/>
      <c r="B2163" s="2"/>
      <c r="F2163" s="1"/>
      <c r="G2163" s="1"/>
      <c r="I2163" s="1"/>
      <c r="J2163" s="1"/>
      <c r="L2163" s="1"/>
      <c r="M2163" s="1"/>
      <c r="O2163" s="2"/>
      <c r="P2163" s="2"/>
    </row>
    <row r="2164" spans="1:16" x14ac:dyDescent="0.25">
      <c r="A2164" s="2"/>
      <c r="B2164" s="2"/>
      <c r="F2164" s="1"/>
      <c r="G2164" s="1"/>
      <c r="I2164" s="1"/>
      <c r="J2164" s="1"/>
      <c r="L2164" s="1"/>
      <c r="M2164" s="1"/>
      <c r="O2164" s="2"/>
      <c r="P2164" s="2"/>
    </row>
    <row r="2165" spans="1:16" x14ac:dyDescent="0.25">
      <c r="A2165" s="2"/>
      <c r="B2165" s="2"/>
      <c r="F2165" s="1"/>
      <c r="G2165" s="1"/>
      <c r="I2165" s="1"/>
      <c r="J2165" s="1"/>
      <c r="L2165" s="1"/>
      <c r="M2165" s="1"/>
      <c r="O2165" s="2"/>
      <c r="P2165" s="2"/>
    </row>
    <row r="2166" spans="1:16" x14ac:dyDescent="0.25">
      <c r="A2166" s="2"/>
      <c r="B2166" s="2"/>
      <c r="F2166" s="1"/>
      <c r="G2166" s="1"/>
      <c r="I2166" s="1"/>
      <c r="J2166" s="1"/>
      <c r="L2166" s="1"/>
      <c r="M2166" s="1"/>
      <c r="O2166" s="2"/>
      <c r="P2166" s="2"/>
    </row>
    <row r="2167" spans="1:16" x14ac:dyDescent="0.25">
      <c r="A2167" s="2"/>
      <c r="B2167" s="2"/>
      <c r="F2167" s="1"/>
      <c r="G2167" s="1"/>
      <c r="I2167" s="1"/>
      <c r="J2167" s="1"/>
      <c r="L2167" s="1"/>
      <c r="M2167" s="1"/>
      <c r="O2167" s="2"/>
      <c r="P2167" s="2"/>
    </row>
    <row r="2168" spans="1:16" x14ac:dyDescent="0.25">
      <c r="A2168" s="2"/>
      <c r="B2168" s="2"/>
      <c r="F2168" s="1"/>
      <c r="G2168" s="1"/>
      <c r="I2168" s="1"/>
      <c r="J2168" s="1"/>
      <c r="L2168" s="1"/>
      <c r="M2168" s="1"/>
      <c r="O2168" s="2"/>
      <c r="P2168" s="2"/>
    </row>
    <row r="2169" spans="1:16" x14ac:dyDescent="0.25">
      <c r="A2169" s="2"/>
      <c r="B2169" s="2"/>
      <c r="F2169" s="1"/>
      <c r="G2169" s="1"/>
      <c r="I2169" s="1"/>
      <c r="J2169" s="1"/>
      <c r="L2169" s="1"/>
      <c r="M2169" s="1"/>
      <c r="O2169" s="2"/>
      <c r="P2169" s="2"/>
    </row>
    <row r="2170" spans="1:16" x14ac:dyDescent="0.25">
      <c r="A2170" s="2"/>
      <c r="B2170" s="2"/>
      <c r="F2170" s="1"/>
      <c r="G2170" s="1"/>
      <c r="I2170" s="1"/>
      <c r="J2170" s="1"/>
      <c r="L2170" s="1"/>
      <c r="M2170" s="1"/>
      <c r="O2170" s="2"/>
      <c r="P2170" s="2"/>
    </row>
    <row r="2171" spans="1:16" x14ac:dyDescent="0.25">
      <c r="A2171" s="2"/>
      <c r="B2171" s="2"/>
      <c r="F2171" s="1"/>
      <c r="G2171" s="1"/>
      <c r="I2171" s="1"/>
      <c r="J2171" s="1"/>
      <c r="L2171" s="1"/>
      <c r="M2171" s="1"/>
      <c r="O2171" s="2"/>
      <c r="P2171" s="2"/>
    </row>
    <row r="2172" spans="1:16" x14ac:dyDescent="0.25">
      <c r="A2172" s="2"/>
      <c r="B2172" s="2"/>
      <c r="F2172" s="1"/>
      <c r="G2172" s="1"/>
      <c r="I2172" s="1"/>
      <c r="J2172" s="1"/>
      <c r="L2172" s="1"/>
      <c r="M2172" s="1"/>
      <c r="O2172" s="2"/>
      <c r="P2172" s="2"/>
    </row>
    <row r="2173" spans="1:16" x14ac:dyDescent="0.25">
      <c r="A2173" s="2"/>
      <c r="B2173" s="2"/>
      <c r="F2173" s="1"/>
      <c r="G2173" s="1"/>
      <c r="I2173" s="1"/>
      <c r="J2173" s="1"/>
      <c r="L2173" s="1"/>
      <c r="M2173" s="1"/>
      <c r="O2173" s="2"/>
      <c r="P2173" s="2"/>
    </row>
    <row r="2174" spans="1:16" x14ac:dyDescent="0.25">
      <c r="A2174" s="2"/>
      <c r="B2174" s="2"/>
      <c r="F2174" s="1"/>
      <c r="G2174" s="1"/>
      <c r="I2174" s="1"/>
      <c r="J2174" s="1"/>
      <c r="L2174" s="1"/>
      <c r="M2174" s="1"/>
      <c r="O2174" s="2"/>
      <c r="P2174" s="2"/>
    </row>
    <row r="2175" spans="1:16" x14ac:dyDescent="0.25">
      <c r="A2175" s="2"/>
      <c r="B2175" s="2"/>
      <c r="F2175" s="1"/>
      <c r="G2175" s="1"/>
      <c r="I2175" s="1"/>
      <c r="J2175" s="1"/>
      <c r="L2175" s="1"/>
      <c r="M2175" s="1"/>
      <c r="O2175" s="2"/>
      <c r="P2175" s="2"/>
    </row>
    <row r="2176" spans="1:16" x14ac:dyDescent="0.25">
      <c r="A2176" s="2"/>
      <c r="B2176" s="2"/>
      <c r="F2176" s="1"/>
      <c r="G2176" s="1"/>
      <c r="I2176" s="1"/>
      <c r="J2176" s="1"/>
      <c r="L2176" s="1"/>
      <c r="M2176" s="1"/>
      <c r="O2176" s="2"/>
      <c r="P2176" s="2"/>
    </row>
    <row r="2177" spans="1:16" x14ac:dyDescent="0.25">
      <c r="A2177" s="2"/>
      <c r="B2177" s="2"/>
      <c r="F2177" s="1"/>
      <c r="G2177" s="1"/>
      <c r="I2177" s="1"/>
      <c r="J2177" s="1"/>
      <c r="L2177" s="1"/>
      <c r="M2177" s="1"/>
      <c r="O2177" s="2"/>
      <c r="P2177" s="2"/>
    </row>
    <row r="2178" spans="1:16" x14ac:dyDescent="0.25">
      <c r="A2178" s="2"/>
      <c r="B2178" s="2"/>
      <c r="F2178" s="1"/>
      <c r="G2178" s="1"/>
      <c r="I2178" s="1"/>
      <c r="J2178" s="1"/>
      <c r="L2178" s="1"/>
      <c r="M2178" s="1"/>
      <c r="O2178" s="2"/>
      <c r="P2178" s="2"/>
    </row>
    <row r="2179" spans="1:16" x14ac:dyDescent="0.25">
      <c r="A2179" s="2"/>
      <c r="B2179" s="2"/>
      <c r="F2179" s="1"/>
      <c r="G2179" s="1"/>
      <c r="I2179" s="1"/>
      <c r="J2179" s="1"/>
      <c r="L2179" s="1"/>
      <c r="M2179" s="1"/>
      <c r="O2179" s="2"/>
      <c r="P2179" s="2"/>
    </row>
    <row r="2180" spans="1:16" x14ac:dyDescent="0.25">
      <c r="A2180" s="2"/>
      <c r="B2180" s="2"/>
      <c r="F2180" s="1"/>
      <c r="G2180" s="1"/>
      <c r="I2180" s="1"/>
      <c r="J2180" s="1"/>
      <c r="L2180" s="1"/>
      <c r="M2180" s="1"/>
      <c r="O2180" s="2"/>
      <c r="P2180" s="2"/>
    </row>
    <row r="2181" spans="1:16" x14ac:dyDescent="0.25">
      <c r="A2181" s="2"/>
      <c r="B2181" s="2"/>
      <c r="F2181" s="1"/>
      <c r="G2181" s="1"/>
      <c r="I2181" s="1"/>
      <c r="J2181" s="1"/>
      <c r="L2181" s="1"/>
      <c r="M2181" s="1"/>
      <c r="O2181" s="2"/>
      <c r="P2181" s="2"/>
    </row>
    <row r="2182" spans="1:16" x14ac:dyDescent="0.25">
      <c r="A2182" s="2"/>
      <c r="B2182" s="2"/>
      <c r="F2182" s="1"/>
      <c r="G2182" s="1"/>
      <c r="I2182" s="1"/>
      <c r="J2182" s="1"/>
      <c r="L2182" s="1"/>
      <c r="M2182" s="1"/>
      <c r="O2182" s="2"/>
      <c r="P2182" s="2"/>
    </row>
    <row r="2183" spans="1:16" x14ac:dyDescent="0.25">
      <c r="A2183" s="2"/>
      <c r="B2183" s="2"/>
      <c r="F2183" s="1"/>
      <c r="G2183" s="1"/>
      <c r="I2183" s="1"/>
      <c r="J2183" s="1"/>
      <c r="L2183" s="1"/>
      <c r="M2183" s="1"/>
      <c r="O2183" s="2"/>
      <c r="P2183" s="2"/>
    </row>
    <row r="2184" spans="1:16" x14ac:dyDescent="0.25">
      <c r="A2184" s="2"/>
      <c r="B2184" s="2"/>
      <c r="F2184" s="1"/>
      <c r="G2184" s="1"/>
      <c r="I2184" s="1"/>
      <c r="J2184" s="1"/>
      <c r="L2184" s="1"/>
      <c r="M2184" s="1"/>
      <c r="O2184" s="2"/>
      <c r="P2184" s="2"/>
    </row>
    <row r="2185" spans="1:16" x14ac:dyDescent="0.25">
      <c r="A2185" s="2"/>
      <c r="B2185" s="2"/>
      <c r="F2185" s="1"/>
      <c r="G2185" s="1"/>
      <c r="I2185" s="1"/>
      <c r="J2185" s="1"/>
      <c r="L2185" s="1"/>
      <c r="M2185" s="1"/>
      <c r="O2185" s="2"/>
      <c r="P2185" s="2"/>
    </row>
    <row r="2186" spans="1:16" x14ac:dyDescent="0.25">
      <c r="A2186" s="2"/>
      <c r="B2186" s="2"/>
      <c r="F2186" s="1"/>
      <c r="G2186" s="1"/>
      <c r="I2186" s="1"/>
      <c r="J2186" s="1"/>
      <c r="L2186" s="1"/>
      <c r="M2186" s="1"/>
      <c r="O2186" s="2"/>
      <c r="P2186" s="2"/>
    </row>
    <row r="2187" spans="1:16" x14ac:dyDescent="0.25">
      <c r="A2187" s="2"/>
      <c r="B2187" s="2"/>
      <c r="F2187" s="1"/>
      <c r="G2187" s="1"/>
      <c r="I2187" s="1"/>
      <c r="J2187" s="1"/>
      <c r="L2187" s="1"/>
      <c r="M2187" s="1"/>
      <c r="O2187" s="2"/>
      <c r="P2187" s="2"/>
    </row>
    <row r="2188" spans="1:16" x14ac:dyDescent="0.25">
      <c r="A2188" s="2"/>
      <c r="B2188" s="2"/>
      <c r="F2188" s="1"/>
      <c r="G2188" s="1"/>
      <c r="I2188" s="1"/>
      <c r="J2188" s="1"/>
      <c r="L2188" s="1"/>
      <c r="M2188" s="1"/>
      <c r="O2188" s="2"/>
      <c r="P2188" s="2"/>
    </row>
    <row r="2189" spans="1:16" x14ac:dyDescent="0.25">
      <c r="A2189" s="2"/>
      <c r="B2189" s="2"/>
      <c r="F2189" s="1"/>
      <c r="G2189" s="1"/>
      <c r="I2189" s="1"/>
      <c r="J2189" s="1"/>
      <c r="L2189" s="1"/>
      <c r="M2189" s="1"/>
      <c r="O2189" s="2"/>
      <c r="P2189" s="2"/>
    </row>
    <row r="2190" spans="1:16" x14ac:dyDescent="0.25">
      <c r="A2190" s="2"/>
      <c r="B2190" s="2"/>
      <c r="F2190" s="1"/>
      <c r="G2190" s="1"/>
      <c r="I2190" s="1"/>
      <c r="J2190" s="1"/>
      <c r="L2190" s="1"/>
      <c r="M2190" s="1"/>
      <c r="O2190" s="2"/>
      <c r="P2190" s="2"/>
    </row>
    <row r="2191" spans="1:16" x14ac:dyDescent="0.25">
      <c r="A2191" s="2"/>
      <c r="B2191" s="2"/>
      <c r="F2191" s="1"/>
      <c r="G2191" s="1"/>
      <c r="I2191" s="1"/>
      <c r="J2191" s="1"/>
      <c r="L2191" s="1"/>
      <c r="M2191" s="1"/>
      <c r="O2191" s="2"/>
      <c r="P2191" s="2"/>
    </row>
    <row r="2192" spans="1:16" x14ac:dyDescent="0.25">
      <c r="A2192" s="2"/>
      <c r="B2192" s="2"/>
      <c r="F2192" s="1"/>
      <c r="G2192" s="1"/>
      <c r="I2192" s="1"/>
      <c r="J2192" s="1"/>
      <c r="L2192" s="1"/>
      <c r="M2192" s="1"/>
      <c r="O2192" s="2"/>
      <c r="P2192" s="2"/>
    </row>
    <row r="2193" spans="1:16" x14ac:dyDescent="0.25">
      <c r="A2193" s="2"/>
      <c r="B2193" s="2"/>
      <c r="F2193" s="1"/>
      <c r="G2193" s="1"/>
      <c r="I2193" s="1"/>
      <c r="J2193" s="1"/>
      <c r="L2193" s="1"/>
      <c r="M2193" s="1"/>
      <c r="O2193" s="2"/>
      <c r="P2193" s="2"/>
    </row>
    <row r="2194" spans="1:16" x14ac:dyDescent="0.25">
      <c r="A2194" s="2"/>
      <c r="B2194" s="2"/>
      <c r="F2194" s="1"/>
      <c r="G2194" s="1"/>
      <c r="I2194" s="1"/>
      <c r="J2194" s="1"/>
      <c r="L2194" s="1"/>
      <c r="M2194" s="1"/>
      <c r="O2194" s="2"/>
      <c r="P2194" s="2"/>
    </row>
    <row r="2195" spans="1:16" x14ac:dyDescent="0.25">
      <c r="A2195" s="2"/>
      <c r="B2195" s="2"/>
      <c r="F2195" s="1"/>
      <c r="G2195" s="1"/>
      <c r="I2195" s="1"/>
      <c r="J2195" s="1"/>
      <c r="L2195" s="1"/>
      <c r="M2195" s="1"/>
      <c r="O2195" s="2"/>
      <c r="P2195" s="2"/>
    </row>
    <row r="2196" spans="1:16" x14ac:dyDescent="0.25">
      <c r="A2196" s="2"/>
      <c r="B2196" s="2"/>
      <c r="F2196" s="1"/>
      <c r="G2196" s="1"/>
      <c r="I2196" s="1"/>
      <c r="J2196" s="1"/>
      <c r="L2196" s="1"/>
      <c r="M2196" s="1"/>
      <c r="O2196" s="2"/>
      <c r="P2196" s="2"/>
    </row>
    <row r="2197" spans="1:16" x14ac:dyDescent="0.25">
      <c r="A2197" s="2"/>
      <c r="B2197" s="2"/>
      <c r="F2197" s="1"/>
      <c r="G2197" s="1"/>
      <c r="I2197" s="1"/>
      <c r="J2197" s="1"/>
      <c r="L2197" s="1"/>
      <c r="M2197" s="1"/>
      <c r="O2197" s="2"/>
      <c r="P2197" s="2"/>
    </row>
    <row r="2198" spans="1:16" x14ac:dyDescent="0.25">
      <c r="A2198" s="2"/>
      <c r="B2198" s="2"/>
      <c r="F2198" s="1"/>
      <c r="G2198" s="1"/>
      <c r="I2198" s="1"/>
      <c r="J2198" s="1"/>
      <c r="L2198" s="1"/>
      <c r="M2198" s="1"/>
      <c r="O2198" s="2"/>
      <c r="P2198" s="2"/>
    </row>
    <row r="2199" spans="1:16" x14ac:dyDescent="0.25">
      <c r="A2199" s="2"/>
      <c r="B2199" s="2"/>
      <c r="F2199" s="1"/>
      <c r="G2199" s="1"/>
      <c r="I2199" s="1"/>
      <c r="J2199" s="1"/>
      <c r="L2199" s="1"/>
      <c r="M2199" s="1"/>
      <c r="O2199" s="2"/>
      <c r="P2199" s="2"/>
    </row>
    <row r="2200" spans="1:16" x14ac:dyDescent="0.25">
      <c r="A2200" s="2"/>
      <c r="B2200" s="2"/>
      <c r="F2200" s="1"/>
      <c r="G2200" s="1"/>
      <c r="I2200" s="1"/>
      <c r="J2200" s="1"/>
      <c r="L2200" s="1"/>
      <c r="M2200" s="1"/>
      <c r="O2200" s="2"/>
      <c r="P2200" s="2"/>
    </row>
    <row r="2201" spans="1:16" x14ac:dyDescent="0.25">
      <c r="A2201" s="2"/>
      <c r="B2201" s="2"/>
      <c r="F2201" s="1"/>
      <c r="G2201" s="1"/>
      <c r="I2201" s="1"/>
      <c r="J2201" s="1"/>
      <c r="L2201" s="1"/>
      <c r="M2201" s="1"/>
      <c r="O2201" s="2"/>
      <c r="P2201" s="2"/>
    </row>
    <row r="2202" spans="1:16" x14ac:dyDescent="0.25">
      <c r="A2202" s="2"/>
      <c r="B2202" s="2"/>
      <c r="F2202" s="1"/>
      <c r="G2202" s="1"/>
      <c r="I2202" s="1"/>
      <c r="J2202" s="1"/>
      <c r="L2202" s="1"/>
      <c r="M2202" s="1"/>
      <c r="O2202" s="2"/>
      <c r="P2202" s="2"/>
    </row>
    <row r="2203" spans="1:16" x14ac:dyDescent="0.25">
      <c r="A2203" s="2"/>
      <c r="B2203" s="2"/>
      <c r="F2203" s="1"/>
      <c r="G2203" s="1"/>
      <c r="I2203" s="1"/>
      <c r="J2203" s="1"/>
      <c r="L2203" s="1"/>
      <c r="M2203" s="1"/>
      <c r="O2203" s="2"/>
      <c r="P2203" s="2"/>
    </row>
    <row r="2204" spans="1:16" x14ac:dyDescent="0.25">
      <c r="A2204" s="2"/>
      <c r="B2204" s="2"/>
      <c r="F2204" s="1"/>
      <c r="G2204" s="1"/>
      <c r="I2204" s="1"/>
      <c r="J2204" s="1"/>
      <c r="L2204" s="1"/>
      <c r="M2204" s="1"/>
      <c r="O2204" s="2"/>
      <c r="P2204" s="2"/>
    </row>
    <row r="2205" spans="1:16" x14ac:dyDescent="0.25">
      <c r="A2205" s="2"/>
      <c r="B2205" s="2"/>
      <c r="F2205" s="1"/>
      <c r="G2205" s="1"/>
      <c r="I2205" s="1"/>
      <c r="J2205" s="1"/>
      <c r="L2205" s="1"/>
      <c r="M2205" s="1"/>
      <c r="O2205" s="2"/>
      <c r="P2205" s="2"/>
    </row>
    <row r="2206" spans="1:16" x14ac:dyDescent="0.25">
      <c r="A2206" s="2"/>
      <c r="B2206" s="2"/>
      <c r="F2206" s="1"/>
      <c r="G2206" s="1"/>
      <c r="I2206" s="1"/>
      <c r="J2206" s="1"/>
      <c r="L2206" s="1"/>
      <c r="M2206" s="1"/>
      <c r="O2206" s="2"/>
      <c r="P2206" s="2"/>
    </row>
    <row r="2207" spans="1:16" x14ac:dyDescent="0.25">
      <c r="A2207" s="2"/>
      <c r="B2207" s="2"/>
      <c r="F2207" s="1"/>
      <c r="G2207" s="1"/>
      <c r="I2207" s="1"/>
      <c r="J2207" s="1"/>
      <c r="L2207" s="1"/>
      <c r="M2207" s="1"/>
      <c r="O2207" s="2"/>
      <c r="P2207" s="2"/>
    </row>
    <row r="2208" spans="1:16" x14ac:dyDescent="0.25">
      <c r="A2208" s="2"/>
      <c r="B2208" s="2"/>
      <c r="F2208" s="1"/>
      <c r="G2208" s="1"/>
      <c r="I2208" s="1"/>
      <c r="J2208" s="1"/>
      <c r="L2208" s="1"/>
      <c r="M2208" s="1"/>
      <c r="O2208" s="2"/>
      <c r="P2208" s="2"/>
    </row>
    <row r="2209" spans="1:16" x14ac:dyDescent="0.25">
      <c r="A2209" s="2"/>
      <c r="B2209" s="2"/>
      <c r="F2209" s="1"/>
      <c r="G2209" s="1"/>
      <c r="I2209" s="1"/>
      <c r="J2209" s="1"/>
      <c r="L2209" s="1"/>
      <c r="M2209" s="1"/>
      <c r="O2209" s="2"/>
      <c r="P2209" s="2"/>
    </row>
    <row r="2210" spans="1:16" x14ac:dyDescent="0.25">
      <c r="A2210" s="2"/>
      <c r="B2210" s="2"/>
      <c r="F2210" s="1"/>
      <c r="G2210" s="1"/>
      <c r="I2210" s="1"/>
      <c r="J2210" s="1"/>
      <c r="L2210" s="1"/>
      <c r="M2210" s="1"/>
      <c r="O2210" s="2"/>
      <c r="P2210" s="2"/>
    </row>
    <row r="2211" spans="1:16" x14ac:dyDescent="0.25">
      <c r="A2211" s="2"/>
      <c r="B2211" s="2"/>
      <c r="F2211" s="1"/>
      <c r="G2211" s="1"/>
      <c r="I2211" s="1"/>
      <c r="J2211" s="1"/>
      <c r="L2211" s="1"/>
      <c r="M2211" s="1"/>
      <c r="O2211" s="2"/>
      <c r="P2211" s="2"/>
    </row>
    <row r="2212" spans="1:16" x14ac:dyDescent="0.25">
      <c r="A2212" s="2"/>
      <c r="B2212" s="2"/>
      <c r="F2212" s="1"/>
      <c r="G2212" s="1"/>
      <c r="I2212" s="1"/>
      <c r="J2212" s="1"/>
      <c r="L2212" s="1"/>
      <c r="M2212" s="1"/>
      <c r="O2212" s="2"/>
      <c r="P2212" s="2"/>
    </row>
    <row r="2213" spans="1:16" x14ac:dyDescent="0.25">
      <c r="A2213" s="2"/>
      <c r="B2213" s="2"/>
      <c r="F2213" s="1"/>
      <c r="G2213" s="1"/>
      <c r="I2213" s="1"/>
      <c r="J2213" s="1"/>
      <c r="L2213" s="1"/>
      <c r="M2213" s="1"/>
      <c r="O2213" s="2"/>
      <c r="P2213" s="2"/>
    </row>
    <row r="2214" spans="1:16" x14ac:dyDescent="0.25">
      <c r="A2214" s="2"/>
      <c r="B2214" s="2"/>
      <c r="F2214" s="1"/>
      <c r="G2214" s="1"/>
      <c r="I2214" s="1"/>
      <c r="J2214" s="1"/>
      <c r="L2214" s="1"/>
      <c r="M2214" s="1"/>
      <c r="O2214" s="2"/>
      <c r="P2214" s="2"/>
    </row>
    <row r="2215" spans="1:16" x14ac:dyDescent="0.25">
      <c r="A2215" s="2"/>
      <c r="B2215" s="2"/>
      <c r="F2215" s="1"/>
      <c r="G2215" s="1"/>
      <c r="I2215" s="1"/>
      <c r="J2215" s="1"/>
      <c r="L2215" s="1"/>
      <c r="M2215" s="1"/>
      <c r="O2215" s="2"/>
      <c r="P2215" s="2"/>
    </row>
    <row r="2216" spans="1:16" x14ac:dyDescent="0.25">
      <c r="A2216" s="2"/>
      <c r="B2216" s="2"/>
      <c r="F2216" s="1"/>
      <c r="G2216" s="1"/>
      <c r="I2216" s="1"/>
      <c r="J2216" s="1"/>
      <c r="L2216" s="1"/>
      <c r="M2216" s="1"/>
      <c r="O2216" s="2"/>
      <c r="P2216" s="2"/>
    </row>
    <row r="2217" spans="1:16" x14ac:dyDescent="0.25">
      <c r="A2217" s="2"/>
      <c r="B2217" s="2"/>
      <c r="F2217" s="1"/>
      <c r="G2217" s="1"/>
      <c r="I2217" s="1"/>
      <c r="J2217" s="1"/>
      <c r="L2217" s="1"/>
      <c r="M2217" s="1"/>
      <c r="O2217" s="2"/>
      <c r="P2217" s="2"/>
    </row>
    <row r="2218" spans="1:16" x14ac:dyDescent="0.25">
      <c r="A2218" s="2"/>
      <c r="B2218" s="2"/>
      <c r="F2218" s="1"/>
      <c r="G2218" s="1"/>
      <c r="I2218" s="1"/>
      <c r="J2218" s="1"/>
      <c r="L2218" s="1"/>
      <c r="M2218" s="1"/>
      <c r="O2218" s="2"/>
      <c r="P2218" s="2"/>
    </row>
    <row r="2219" spans="1:16" x14ac:dyDescent="0.25">
      <c r="A2219" s="2"/>
      <c r="B2219" s="2"/>
      <c r="F2219" s="1"/>
      <c r="G2219" s="1"/>
      <c r="I2219" s="1"/>
      <c r="J2219" s="1"/>
      <c r="L2219" s="1"/>
      <c r="M2219" s="1"/>
      <c r="O2219" s="2"/>
      <c r="P2219" s="2"/>
    </row>
    <row r="2220" spans="1:16" x14ac:dyDescent="0.25">
      <c r="A2220" s="2"/>
      <c r="B2220" s="2"/>
      <c r="F2220" s="1"/>
      <c r="G2220" s="1"/>
      <c r="I2220" s="1"/>
      <c r="J2220" s="1"/>
      <c r="L2220" s="1"/>
      <c r="M2220" s="1"/>
      <c r="O2220" s="2"/>
      <c r="P2220" s="2"/>
    </row>
    <row r="2221" spans="1:16" x14ac:dyDescent="0.25">
      <c r="A2221" s="2"/>
      <c r="B2221" s="2"/>
      <c r="F2221" s="1"/>
      <c r="G2221" s="1"/>
      <c r="I2221" s="1"/>
      <c r="J2221" s="1"/>
      <c r="L2221" s="1"/>
      <c r="M2221" s="1"/>
      <c r="O2221" s="2"/>
      <c r="P2221" s="2"/>
    </row>
    <row r="2222" spans="1:16" x14ac:dyDescent="0.25">
      <c r="A2222" s="2"/>
      <c r="B2222" s="2"/>
      <c r="F2222" s="1"/>
      <c r="G2222" s="1"/>
      <c r="I2222" s="1"/>
      <c r="J2222" s="1"/>
      <c r="L2222" s="1"/>
      <c r="M2222" s="1"/>
      <c r="O2222" s="2"/>
      <c r="P2222" s="2"/>
    </row>
    <row r="2223" spans="1:16" x14ac:dyDescent="0.25">
      <c r="A2223" s="2"/>
      <c r="B2223" s="2"/>
      <c r="F2223" s="1"/>
      <c r="G2223" s="1"/>
      <c r="I2223" s="1"/>
      <c r="J2223" s="1"/>
      <c r="L2223" s="1"/>
      <c r="M2223" s="1"/>
      <c r="O2223" s="2"/>
      <c r="P2223" s="2"/>
    </row>
    <row r="2224" spans="1:16" x14ac:dyDescent="0.25">
      <c r="A2224" s="2"/>
      <c r="B2224" s="2"/>
      <c r="F2224" s="1"/>
      <c r="G2224" s="1"/>
      <c r="I2224" s="1"/>
      <c r="J2224" s="1"/>
      <c r="L2224" s="1"/>
      <c r="M2224" s="1"/>
      <c r="O2224" s="2"/>
      <c r="P2224" s="2"/>
    </row>
    <row r="2225" spans="1:16" x14ac:dyDescent="0.25">
      <c r="A2225" s="2"/>
      <c r="B2225" s="2"/>
      <c r="F2225" s="1"/>
      <c r="G2225" s="1"/>
      <c r="I2225" s="1"/>
      <c r="J2225" s="1"/>
      <c r="L2225" s="1"/>
      <c r="M2225" s="1"/>
      <c r="O2225" s="2"/>
      <c r="P2225" s="2"/>
    </row>
    <row r="2226" spans="1:16" x14ac:dyDescent="0.25">
      <c r="A2226" s="2"/>
      <c r="B2226" s="2"/>
      <c r="F2226" s="1"/>
      <c r="G2226" s="1"/>
      <c r="I2226" s="1"/>
      <c r="J2226" s="1"/>
      <c r="L2226" s="1"/>
      <c r="M2226" s="1"/>
      <c r="O2226" s="2"/>
      <c r="P2226" s="2"/>
    </row>
    <row r="2227" spans="1:16" x14ac:dyDescent="0.25">
      <c r="A2227" s="2"/>
      <c r="B2227" s="2"/>
      <c r="F2227" s="1"/>
      <c r="G2227" s="1"/>
      <c r="I2227" s="1"/>
      <c r="J2227" s="1"/>
      <c r="L2227" s="1"/>
      <c r="M2227" s="1"/>
      <c r="O2227" s="2"/>
      <c r="P2227" s="2"/>
    </row>
    <row r="2228" spans="1:16" x14ac:dyDescent="0.25">
      <c r="A2228" s="2"/>
      <c r="B2228" s="2"/>
      <c r="F2228" s="1"/>
      <c r="G2228" s="1"/>
      <c r="I2228" s="1"/>
      <c r="J2228" s="1"/>
      <c r="L2228" s="1"/>
      <c r="M2228" s="1"/>
      <c r="O2228" s="2"/>
      <c r="P2228" s="2"/>
    </row>
    <row r="2229" spans="1:16" x14ac:dyDescent="0.25">
      <c r="A2229" s="2"/>
      <c r="B2229" s="2"/>
      <c r="F2229" s="1"/>
      <c r="G2229" s="1"/>
      <c r="I2229" s="1"/>
      <c r="J2229" s="1"/>
      <c r="L2229" s="1"/>
      <c r="M2229" s="1"/>
      <c r="O2229" s="2"/>
      <c r="P2229" s="2"/>
    </row>
    <row r="2230" spans="1:16" x14ac:dyDescent="0.25">
      <c r="A2230" s="2"/>
      <c r="B2230" s="2"/>
      <c r="F2230" s="1"/>
      <c r="G2230" s="1"/>
      <c r="I2230" s="1"/>
      <c r="J2230" s="1"/>
      <c r="L2230" s="1"/>
      <c r="M2230" s="1"/>
      <c r="O2230" s="2"/>
      <c r="P2230" s="2"/>
    </row>
    <row r="2231" spans="1:16" x14ac:dyDescent="0.25">
      <c r="A2231" s="2"/>
      <c r="B2231" s="2"/>
      <c r="F2231" s="1"/>
      <c r="G2231" s="1"/>
      <c r="I2231" s="1"/>
      <c r="J2231" s="1"/>
      <c r="L2231" s="1"/>
      <c r="M2231" s="1"/>
      <c r="O2231" s="2"/>
      <c r="P2231" s="2"/>
    </row>
    <row r="2232" spans="1:16" x14ac:dyDescent="0.25">
      <c r="A2232" s="2"/>
      <c r="B2232" s="2"/>
      <c r="F2232" s="1"/>
      <c r="G2232" s="1"/>
      <c r="I2232" s="1"/>
      <c r="J2232" s="1"/>
      <c r="L2232" s="1"/>
      <c r="M2232" s="1"/>
      <c r="O2232" s="2"/>
      <c r="P2232" s="2"/>
    </row>
    <row r="2233" spans="1:16" x14ac:dyDescent="0.25">
      <c r="A2233" s="2"/>
      <c r="B2233" s="2"/>
      <c r="F2233" s="1"/>
      <c r="G2233" s="1"/>
      <c r="I2233" s="1"/>
      <c r="J2233" s="1"/>
      <c r="L2233" s="1"/>
      <c r="M2233" s="1"/>
      <c r="O2233" s="2"/>
      <c r="P2233" s="2"/>
    </row>
    <row r="2234" spans="1:16" x14ac:dyDescent="0.25">
      <c r="A2234" s="2"/>
      <c r="B2234" s="2"/>
      <c r="F2234" s="1"/>
      <c r="G2234" s="1"/>
      <c r="I2234" s="1"/>
      <c r="J2234" s="1"/>
      <c r="L2234" s="1"/>
      <c r="M2234" s="1"/>
      <c r="O2234" s="2"/>
      <c r="P2234" s="2"/>
    </row>
    <row r="2235" spans="1:16" x14ac:dyDescent="0.25">
      <c r="A2235" s="2"/>
      <c r="B2235" s="2"/>
      <c r="F2235" s="1"/>
      <c r="G2235" s="1"/>
      <c r="I2235" s="1"/>
      <c r="J2235" s="1"/>
      <c r="L2235" s="1"/>
      <c r="M2235" s="1"/>
      <c r="O2235" s="2"/>
      <c r="P2235" s="2"/>
    </row>
    <row r="2236" spans="1:16" x14ac:dyDescent="0.25">
      <c r="A2236" s="2"/>
      <c r="B2236" s="2"/>
      <c r="F2236" s="1"/>
      <c r="G2236" s="1"/>
      <c r="I2236" s="1"/>
      <c r="J2236" s="1"/>
      <c r="L2236" s="1"/>
      <c r="M2236" s="1"/>
      <c r="O2236" s="2"/>
      <c r="P2236" s="2"/>
    </row>
    <row r="2237" spans="1:16" x14ac:dyDescent="0.25">
      <c r="A2237" s="2"/>
      <c r="B2237" s="2"/>
      <c r="F2237" s="1"/>
      <c r="G2237" s="1"/>
      <c r="I2237" s="1"/>
      <c r="J2237" s="1"/>
      <c r="L2237" s="1"/>
      <c r="M2237" s="1"/>
      <c r="O2237" s="2"/>
      <c r="P2237" s="2"/>
    </row>
    <row r="2238" spans="1:16" x14ac:dyDescent="0.25">
      <c r="A2238" s="2"/>
      <c r="B2238" s="2"/>
      <c r="F2238" s="1"/>
      <c r="G2238" s="1"/>
      <c r="I2238" s="1"/>
      <c r="J2238" s="1"/>
      <c r="L2238" s="1"/>
      <c r="M2238" s="1"/>
      <c r="O2238" s="2"/>
      <c r="P2238" s="2"/>
    </row>
    <row r="2239" spans="1:16" x14ac:dyDescent="0.25">
      <c r="A2239" s="2"/>
      <c r="B2239" s="2"/>
      <c r="F2239" s="1"/>
      <c r="G2239" s="1"/>
      <c r="I2239" s="1"/>
      <c r="J2239" s="1"/>
      <c r="L2239" s="1"/>
      <c r="M2239" s="1"/>
      <c r="O2239" s="2"/>
      <c r="P2239" s="2"/>
    </row>
    <row r="2240" spans="1:16" x14ac:dyDescent="0.25">
      <c r="A2240" s="2"/>
      <c r="B2240" s="2"/>
      <c r="F2240" s="1"/>
      <c r="G2240" s="1"/>
      <c r="I2240" s="1"/>
      <c r="J2240" s="1"/>
      <c r="L2240" s="1"/>
      <c r="M2240" s="1"/>
      <c r="O2240" s="2"/>
      <c r="P2240" s="2"/>
    </row>
    <row r="2241" spans="1:16" x14ac:dyDescent="0.25">
      <c r="A2241" s="2"/>
      <c r="B2241" s="2"/>
      <c r="F2241" s="1"/>
      <c r="G2241" s="1"/>
      <c r="I2241" s="1"/>
      <c r="J2241" s="1"/>
      <c r="L2241" s="1"/>
      <c r="M2241" s="1"/>
      <c r="O2241" s="2"/>
      <c r="P2241" s="2"/>
    </row>
    <row r="2242" spans="1:16" x14ac:dyDescent="0.25">
      <c r="A2242" s="2"/>
      <c r="B2242" s="2"/>
      <c r="F2242" s="1"/>
      <c r="G2242" s="1"/>
      <c r="I2242" s="1"/>
      <c r="J2242" s="1"/>
      <c r="L2242" s="1"/>
      <c r="M2242" s="1"/>
      <c r="O2242" s="2"/>
      <c r="P2242" s="2"/>
    </row>
    <row r="2243" spans="1:16" x14ac:dyDescent="0.25">
      <c r="A2243" s="2"/>
      <c r="B2243" s="2"/>
      <c r="F2243" s="1"/>
      <c r="G2243" s="1"/>
      <c r="I2243" s="1"/>
      <c r="J2243" s="1"/>
      <c r="L2243" s="1"/>
      <c r="M2243" s="1"/>
      <c r="O2243" s="2"/>
      <c r="P2243" s="2"/>
    </row>
    <row r="2244" spans="1:16" x14ac:dyDescent="0.25">
      <c r="A2244" s="2"/>
      <c r="B2244" s="2"/>
      <c r="F2244" s="1"/>
      <c r="G2244" s="1"/>
      <c r="I2244" s="1"/>
      <c r="J2244" s="1"/>
      <c r="L2244" s="1"/>
      <c r="M2244" s="1"/>
      <c r="O2244" s="2"/>
      <c r="P2244" s="2"/>
    </row>
    <row r="2245" spans="1:16" x14ac:dyDescent="0.25">
      <c r="A2245" s="2"/>
      <c r="B2245" s="2"/>
      <c r="F2245" s="1"/>
      <c r="G2245" s="1"/>
      <c r="I2245" s="1"/>
      <c r="J2245" s="1"/>
      <c r="L2245" s="1"/>
      <c r="M2245" s="1"/>
      <c r="O2245" s="2"/>
      <c r="P2245" s="2"/>
    </row>
    <row r="2246" spans="1:16" x14ac:dyDescent="0.25">
      <c r="A2246" s="2"/>
      <c r="B2246" s="2"/>
      <c r="F2246" s="1"/>
      <c r="G2246" s="1"/>
      <c r="I2246" s="1"/>
      <c r="J2246" s="1"/>
      <c r="L2246" s="1"/>
      <c r="M2246" s="1"/>
      <c r="O2246" s="2"/>
      <c r="P2246" s="2"/>
    </row>
    <row r="2247" spans="1:16" x14ac:dyDescent="0.25">
      <c r="A2247" s="2"/>
      <c r="B2247" s="2"/>
      <c r="F2247" s="1"/>
      <c r="G2247" s="1"/>
      <c r="I2247" s="1"/>
      <c r="J2247" s="1"/>
      <c r="L2247" s="1"/>
      <c r="M2247" s="1"/>
      <c r="O2247" s="2"/>
      <c r="P2247" s="2"/>
    </row>
    <row r="2248" spans="1:16" x14ac:dyDescent="0.25">
      <c r="A2248" s="2"/>
      <c r="B2248" s="2"/>
      <c r="F2248" s="1"/>
      <c r="G2248" s="1"/>
      <c r="I2248" s="1"/>
      <c r="J2248" s="1"/>
      <c r="L2248" s="1"/>
      <c r="M2248" s="1"/>
      <c r="O2248" s="2"/>
      <c r="P2248" s="2"/>
    </row>
    <row r="2249" spans="1:16" x14ac:dyDescent="0.25">
      <c r="A2249" s="2"/>
      <c r="B2249" s="2"/>
      <c r="F2249" s="1"/>
      <c r="G2249" s="1"/>
      <c r="I2249" s="1"/>
      <c r="J2249" s="1"/>
      <c r="L2249" s="1"/>
      <c r="M2249" s="1"/>
      <c r="O2249" s="2"/>
      <c r="P2249" s="2"/>
    </row>
    <row r="2250" spans="1:16" x14ac:dyDescent="0.25">
      <c r="A2250" s="2"/>
      <c r="B2250" s="2"/>
      <c r="F2250" s="1"/>
      <c r="G2250" s="1"/>
      <c r="I2250" s="1"/>
      <c r="J2250" s="1"/>
      <c r="L2250" s="1"/>
      <c r="M2250" s="1"/>
      <c r="O2250" s="2"/>
      <c r="P2250" s="2"/>
    </row>
    <row r="2251" spans="1:16" x14ac:dyDescent="0.25">
      <c r="A2251" s="2"/>
      <c r="B2251" s="2"/>
      <c r="F2251" s="1"/>
      <c r="G2251" s="1"/>
      <c r="I2251" s="1"/>
      <c r="J2251" s="1"/>
      <c r="L2251" s="1"/>
      <c r="M2251" s="1"/>
      <c r="O2251" s="2"/>
      <c r="P2251" s="2"/>
    </row>
    <row r="2252" spans="1:16" x14ac:dyDescent="0.25">
      <c r="A2252" s="2"/>
      <c r="B2252" s="2"/>
      <c r="F2252" s="1"/>
      <c r="G2252" s="1"/>
      <c r="I2252" s="1"/>
      <c r="J2252" s="1"/>
      <c r="L2252" s="1"/>
      <c r="M2252" s="1"/>
      <c r="O2252" s="2"/>
      <c r="P2252" s="2"/>
    </row>
    <row r="2253" spans="1:16" x14ac:dyDescent="0.25">
      <c r="A2253" s="2"/>
      <c r="B2253" s="2"/>
      <c r="F2253" s="1"/>
      <c r="G2253" s="1"/>
      <c r="I2253" s="1"/>
      <c r="J2253" s="1"/>
      <c r="L2253" s="1"/>
      <c r="M2253" s="1"/>
      <c r="O2253" s="2"/>
      <c r="P2253" s="2"/>
    </row>
    <row r="2254" spans="1:16" x14ac:dyDescent="0.25">
      <c r="A2254" s="2"/>
      <c r="B2254" s="2"/>
      <c r="F2254" s="1"/>
      <c r="G2254" s="1"/>
      <c r="I2254" s="1"/>
      <c r="J2254" s="1"/>
      <c r="L2254" s="1"/>
      <c r="M2254" s="1"/>
      <c r="O2254" s="2"/>
      <c r="P2254" s="2"/>
    </row>
    <row r="2255" spans="1:16" x14ac:dyDescent="0.25">
      <c r="A2255" s="2"/>
      <c r="B2255" s="2"/>
      <c r="F2255" s="1"/>
      <c r="G2255" s="1"/>
      <c r="I2255" s="1"/>
      <c r="J2255" s="1"/>
      <c r="L2255" s="1"/>
      <c r="M2255" s="1"/>
      <c r="O2255" s="2"/>
      <c r="P2255" s="2"/>
    </row>
    <row r="2256" spans="1:16" x14ac:dyDescent="0.25">
      <c r="A2256" s="2"/>
      <c r="B2256" s="2"/>
      <c r="F2256" s="1"/>
      <c r="G2256" s="1"/>
      <c r="I2256" s="1"/>
      <c r="J2256" s="1"/>
      <c r="L2256" s="1"/>
      <c r="M2256" s="1"/>
      <c r="O2256" s="2"/>
      <c r="P2256" s="2"/>
    </row>
    <row r="2257" spans="1:16" x14ac:dyDescent="0.25">
      <c r="A2257" s="2"/>
      <c r="B2257" s="2"/>
      <c r="F2257" s="1"/>
      <c r="G2257" s="1"/>
      <c r="I2257" s="1"/>
      <c r="J2257" s="1"/>
      <c r="L2257" s="1"/>
      <c r="M2257" s="1"/>
      <c r="O2257" s="2"/>
      <c r="P2257" s="2"/>
    </row>
    <row r="2258" spans="1:16" x14ac:dyDescent="0.25">
      <c r="A2258" s="2"/>
      <c r="B2258" s="2"/>
      <c r="F2258" s="1"/>
      <c r="G2258" s="1"/>
      <c r="I2258" s="1"/>
      <c r="J2258" s="1"/>
      <c r="L2258" s="1"/>
      <c r="M2258" s="1"/>
      <c r="O2258" s="2"/>
      <c r="P2258" s="2"/>
    </row>
    <row r="2259" spans="1:16" x14ac:dyDescent="0.25">
      <c r="A2259" s="2"/>
      <c r="B2259" s="2"/>
      <c r="F2259" s="1"/>
      <c r="G2259" s="1"/>
      <c r="I2259" s="1"/>
      <c r="J2259" s="1"/>
      <c r="L2259" s="1"/>
      <c r="M2259" s="1"/>
      <c r="O2259" s="2"/>
      <c r="P2259" s="2"/>
    </row>
    <row r="2260" spans="1:16" x14ac:dyDescent="0.25">
      <c r="A2260" s="2"/>
      <c r="B2260" s="2"/>
      <c r="F2260" s="1"/>
      <c r="G2260" s="1"/>
      <c r="I2260" s="1"/>
      <c r="J2260" s="1"/>
      <c r="L2260" s="1"/>
      <c r="M2260" s="1"/>
      <c r="O2260" s="2"/>
      <c r="P2260" s="2"/>
    </row>
    <row r="2261" spans="1:16" x14ac:dyDescent="0.25">
      <c r="A2261" s="2"/>
      <c r="B2261" s="2"/>
      <c r="F2261" s="1"/>
      <c r="G2261" s="1"/>
      <c r="I2261" s="1"/>
      <c r="J2261" s="1"/>
      <c r="L2261" s="1"/>
      <c r="M2261" s="1"/>
      <c r="O2261" s="2"/>
      <c r="P2261" s="2"/>
    </row>
    <row r="2262" spans="1:16" x14ac:dyDescent="0.25">
      <c r="A2262" s="2"/>
      <c r="B2262" s="2"/>
      <c r="F2262" s="1"/>
      <c r="G2262" s="1"/>
      <c r="I2262" s="1"/>
      <c r="J2262" s="1"/>
      <c r="L2262" s="1"/>
      <c r="M2262" s="1"/>
      <c r="O2262" s="2"/>
      <c r="P2262" s="2"/>
    </row>
    <row r="2263" spans="1:16" x14ac:dyDescent="0.25">
      <c r="A2263" s="2"/>
      <c r="B2263" s="2"/>
      <c r="F2263" s="1"/>
      <c r="G2263" s="1"/>
      <c r="I2263" s="1"/>
      <c r="J2263" s="1"/>
      <c r="L2263" s="1"/>
      <c r="M2263" s="1"/>
      <c r="O2263" s="2"/>
      <c r="P2263" s="2"/>
    </row>
    <row r="2264" spans="1:16" x14ac:dyDescent="0.25">
      <c r="A2264" s="2"/>
      <c r="B2264" s="2"/>
      <c r="F2264" s="1"/>
      <c r="G2264" s="1"/>
      <c r="I2264" s="1"/>
      <c r="J2264" s="1"/>
      <c r="L2264" s="1"/>
      <c r="M2264" s="1"/>
      <c r="O2264" s="2"/>
      <c r="P2264" s="2"/>
    </row>
    <row r="2265" spans="1:16" x14ac:dyDescent="0.25">
      <c r="A2265" s="2"/>
      <c r="B2265" s="2"/>
      <c r="F2265" s="1"/>
      <c r="G2265" s="1"/>
      <c r="I2265" s="1"/>
      <c r="J2265" s="1"/>
      <c r="L2265" s="1"/>
      <c r="M2265" s="1"/>
      <c r="O2265" s="2"/>
      <c r="P2265" s="2"/>
    </row>
    <row r="2266" spans="1:16" x14ac:dyDescent="0.25">
      <c r="A2266" s="2"/>
      <c r="B2266" s="2"/>
      <c r="F2266" s="1"/>
      <c r="G2266" s="1"/>
      <c r="I2266" s="1"/>
      <c r="J2266" s="1"/>
      <c r="L2266" s="1"/>
      <c r="M2266" s="1"/>
      <c r="O2266" s="2"/>
      <c r="P2266" s="2"/>
    </row>
    <row r="2267" spans="1:16" x14ac:dyDescent="0.25">
      <c r="A2267" s="2"/>
      <c r="B2267" s="2"/>
      <c r="F2267" s="1"/>
      <c r="G2267" s="1"/>
      <c r="I2267" s="1"/>
      <c r="J2267" s="1"/>
      <c r="L2267" s="1"/>
      <c r="M2267" s="1"/>
      <c r="O2267" s="2"/>
      <c r="P2267" s="2"/>
    </row>
    <row r="2268" spans="1:16" x14ac:dyDescent="0.25">
      <c r="A2268" s="2"/>
      <c r="B2268" s="2"/>
      <c r="F2268" s="1"/>
      <c r="G2268" s="1"/>
      <c r="I2268" s="1"/>
      <c r="J2268" s="1"/>
      <c r="L2268" s="1"/>
      <c r="M2268" s="1"/>
      <c r="O2268" s="2"/>
      <c r="P2268" s="2"/>
    </row>
    <row r="2269" spans="1:16" x14ac:dyDescent="0.25">
      <c r="A2269" s="2"/>
      <c r="B2269" s="2"/>
      <c r="F2269" s="1"/>
      <c r="G2269" s="1"/>
      <c r="I2269" s="1"/>
      <c r="J2269" s="1"/>
      <c r="L2269" s="1"/>
      <c r="M2269" s="1"/>
      <c r="O2269" s="2"/>
      <c r="P2269" s="2"/>
    </row>
    <row r="2270" spans="1:16" x14ac:dyDescent="0.25">
      <c r="A2270" s="2"/>
      <c r="B2270" s="2"/>
      <c r="F2270" s="1"/>
      <c r="G2270" s="1"/>
      <c r="I2270" s="1"/>
      <c r="J2270" s="1"/>
      <c r="L2270" s="1"/>
      <c r="M2270" s="1"/>
      <c r="O2270" s="2"/>
      <c r="P2270" s="2"/>
    </row>
    <row r="2271" spans="1:16" x14ac:dyDescent="0.25">
      <c r="A2271" s="2"/>
      <c r="B2271" s="2"/>
      <c r="F2271" s="1"/>
      <c r="G2271" s="1"/>
      <c r="I2271" s="1"/>
      <c r="J2271" s="1"/>
      <c r="L2271" s="1"/>
      <c r="M2271" s="1"/>
      <c r="O2271" s="2"/>
      <c r="P2271" s="2"/>
    </row>
    <row r="2272" spans="1:16" x14ac:dyDescent="0.25">
      <c r="A2272" s="2"/>
      <c r="B2272" s="2"/>
      <c r="F2272" s="1"/>
      <c r="G2272" s="1"/>
      <c r="I2272" s="1"/>
      <c r="J2272" s="1"/>
      <c r="L2272" s="1"/>
      <c r="M2272" s="1"/>
      <c r="O2272" s="2"/>
      <c r="P2272" s="2"/>
    </row>
    <row r="2273" spans="1:16" x14ac:dyDescent="0.25">
      <c r="A2273" s="2"/>
      <c r="B2273" s="2"/>
      <c r="F2273" s="1"/>
      <c r="G2273" s="1"/>
      <c r="I2273" s="1"/>
      <c r="J2273" s="1"/>
      <c r="L2273" s="1"/>
      <c r="M2273" s="1"/>
      <c r="O2273" s="2"/>
      <c r="P2273" s="2"/>
    </row>
    <row r="2274" spans="1:16" x14ac:dyDescent="0.25">
      <c r="A2274" s="2"/>
      <c r="B2274" s="2"/>
      <c r="F2274" s="1"/>
      <c r="G2274" s="1"/>
      <c r="I2274" s="1"/>
      <c r="J2274" s="1"/>
      <c r="L2274" s="1"/>
      <c r="M2274" s="1"/>
      <c r="O2274" s="2"/>
      <c r="P2274" s="2"/>
    </row>
    <row r="2275" spans="1:16" x14ac:dyDescent="0.25">
      <c r="A2275" s="2"/>
      <c r="B2275" s="2"/>
      <c r="F2275" s="1"/>
      <c r="G2275" s="1"/>
      <c r="I2275" s="1"/>
      <c r="J2275" s="1"/>
      <c r="L2275" s="1"/>
      <c r="M2275" s="1"/>
      <c r="O2275" s="2"/>
      <c r="P2275" s="2"/>
    </row>
    <row r="2276" spans="1:16" x14ac:dyDescent="0.25">
      <c r="A2276" s="2"/>
      <c r="B2276" s="2"/>
      <c r="F2276" s="1"/>
      <c r="G2276" s="1"/>
      <c r="I2276" s="1"/>
      <c r="J2276" s="1"/>
      <c r="L2276" s="1"/>
      <c r="M2276" s="1"/>
      <c r="O2276" s="2"/>
      <c r="P2276" s="2"/>
    </row>
    <row r="2277" spans="1:16" x14ac:dyDescent="0.25">
      <c r="A2277" s="2"/>
      <c r="B2277" s="2"/>
      <c r="F2277" s="1"/>
      <c r="G2277" s="1"/>
      <c r="I2277" s="1"/>
      <c r="J2277" s="1"/>
      <c r="L2277" s="1"/>
      <c r="M2277" s="1"/>
      <c r="O2277" s="2"/>
      <c r="P2277" s="2"/>
    </row>
    <row r="2278" spans="1:16" x14ac:dyDescent="0.25">
      <c r="A2278" s="2"/>
      <c r="B2278" s="2"/>
      <c r="F2278" s="1"/>
      <c r="G2278" s="1"/>
      <c r="I2278" s="1"/>
      <c r="J2278" s="1"/>
      <c r="L2278" s="1"/>
      <c r="M2278" s="1"/>
      <c r="O2278" s="2"/>
      <c r="P2278" s="2"/>
    </row>
    <row r="2279" spans="1:16" x14ac:dyDescent="0.25">
      <c r="A2279" s="2"/>
      <c r="B2279" s="2"/>
      <c r="F2279" s="1"/>
      <c r="G2279" s="1"/>
      <c r="I2279" s="1"/>
      <c r="J2279" s="1"/>
      <c r="L2279" s="1"/>
      <c r="M2279" s="1"/>
      <c r="O2279" s="2"/>
      <c r="P2279" s="2"/>
    </row>
    <row r="2280" spans="1:16" x14ac:dyDescent="0.25">
      <c r="A2280" s="2"/>
      <c r="B2280" s="2"/>
      <c r="F2280" s="1"/>
      <c r="G2280" s="1"/>
      <c r="I2280" s="1"/>
      <c r="J2280" s="1"/>
      <c r="L2280" s="1"/>
      <c r="M2280" s="1"/>
      <c r="O2280" s="2"/>
      <c r="P2280" s="2"/>
    </row>
    <row r="2281" spans="1:16" x14ac:dyDescent="0.25">
      <c r="A2281" s="2"/>
      <c r="B2281" s="2"/>
      <c r="F2281" s="1"/>
      <c r="G2281" s="1"/>
      <c r="I2281" s="1"/>
      <c r="J2281" s="1"/>
      <c r="L2281" s="1"/>
      <c r="M2281" s="1"/>
      <c r="O2281" s="2"/>
      <c r="P2281" s="2"/>
    </row>
    <row r="2282" spans="1:16" x14ac:dyDescent="0.25">
      <c r="A2282" s="2"/>
      <c r="B2282" s="2"/>
      <c r="F2282" s="1"/>
      <c r="G2282" s="1"/>
      <c r="I2282" s="1"/>
      <c r="J2282" s="1"/>
      <c r="L2282" s="1"/>
      <c r="M2282" s="1"/>
      <c r="O2282" s="2"/>
      <c r="P2282" s="2"/>
    </row>
    <row r="2283" spans="1:16" x14ac:dyDescent="0.25">
      <c r="A2283" s="2"/>
      <c r="B2283" s="2"/>
      <c r="F2283" s="1"/>
      <c r="G2283" s="1"/>
      <c r="I2283" s="1"/>
      <c r="J2283" s="1"/>
      <c r="L2283" s="1"/>
      <c r="M2283" s="1"/>
      <c r="O2283" s="2"/>
      <c r="P2283" s="2"/>
    </row>
    <row r="2284" spans="1:16" x14ac:dyDescent="0.25">
      <c r="A2284" s="2"/>
      <c r="B2284" s="2"/>
      <c r="F2284" s="1"/>
      <c r="G2284" s="1"/>
      <c r="I2284" s="1"/>
      <c r="J2284" s="1"/>
      <c r="L2284" s="1"/>
      <c r="M2284" s="1"/>
      <c r="O2284" s="2"/>
      <c r="P2284" s="2"/>
    </row>
    <row r="2285" spans="1:16" x14ac:dyDescent="0.25">
      <c r="A2285" s="2"/>
      <c r="B2285" s="2"/>
      <c r="F2285" s="1"/>
      <c r="G2285" s="1"/>
      <c r="I2285" s="1"/>
      <c r="J2285" s="1"/>
      <c r="L2285" s="1"/>
      <c r="M2285" s="1"/>
      <c r="O2285" s="2"/>
      <c r="P2285" s="2"/>
    </row>
    <row r="2286" spans="1:16" x14ac:dyDescent="0.25">
      <c r="A2286" s="2"/>
      <c r="B2286" s="2"/>
      <c r="F2286" s="1"/>
      <c r="G2286" s="1"/>
      <c r="I2286" s="1"/>
      <c r="J2286" s="1"/>
      <c r="L2286" s="1"/>
      <c r="M2286" s="1"/>
      <c r="O2286" s="2"/>
      <c r="P2286" s="2"/>
    </row>
    <row r="2287" spans="1:16" x14ac:dyDescent="0.25">
      <c r="A2287" s="2"/>
      <c r="B2287" s="2"/>
      <c r="F2287" s="1"/>
      <c r="G2287" s="1"/>
      <c r="I2287" s="1"/>
      <c r="J2287" s="1"/>
      <c r="L2287" s="1"/>
      <c r="M2287" s="1"/>
      <c r="O2287" s="2"/>
      <c r="P2287" s="2"/>
    </row>
    <row r="2288" spans="1:16" x14ac:dyDescent="0.25">
      <c r="A2288" s="2"/>
      <c r="B2288" s="2"/>
      <c r="F2288" s="1"/>
      <c r="G2288" s="1"/>
      <c r="I2288" s="1"/>
      <c r="J2288" s="1"/>
      <c r="L2288" s="1"/>
      <c r="M2288" s="1"/>
      <c r="O2288" s="2"/>
      <c r="P2288" s="2"/>
    </row>
    <row r="2289" spans="1:16" x14ac:dyDescent="0.25">
      <c r="A2289" s="2"/>
      <c r="B2289" s="2"/>
      <c r="F2289" s="1"/>
      <c r="G2289" s="1"/>
      <c r="I2289" s="1"/>
      <c r="J2289" s="1"/>
      <c r="L2289" s="1"/>
      <c r="M2289" s="1"/>
      <c r="O2289" s="2"/>
      <c r="P2289" s="2"/>
    </row>
    <row r="2290" spans="1:16" x14ac:dyDescent="0.25">
      <c r="A2290" s="2"/>
      <c r="B2290" s="2"/>
      <c r="F2290" s="1"/>
      <c r="G2290" s="1"/>
      <c r="I2290" s="1"/>
      <c r="J2290" s="1"/>
      <c r="L2290" s="1"/>
      <c r="M2290" s="1"/>
      <c r="O2290" s="2"/>
      <c r="P2290" s="2"/>
    </row>
    <row r="2291" spans="1:16" x14ac:dyDescent="0.25">
      <c r="A2291" s="2"/>
      <c r="B2291" s="2"/>
      <c r="F2291" s="1"/>
      <c r="G2291" s="1"/>
      <c r="I2291" s="1"/>
      <c r="J2291" s="1"/>
      <c r="L2291" s="1"/>
      <c r="M2291" s="1"/>
      <c r="O2291" s="2"/>
      <c r="P2291" s="2"/>
    </row>
    <row r="2292" spans="1:16" x14ac:dyDescent="0.25">
      <c r="A2292" s="2"/>
      <c r="B2292" s="2"/>
      <c r="F2292" s="1"/>
      <c r="G2292" s="1"/>
      <c r="I2292" s="1"/>
      <c r="J2292" s="1"/>
      <c r="L2292" s="1"/>
      <c r="M2292" s="1"/>
      <c r="O2292" s="2"/>
      <c r="P2292" s="2"/>
    </row>
    <row r="2293" spans="1:16" x14ac:dyDescent="0.25">
      <c r="A2293" s="2"/>
      <c r="B2293" s="2"/>
      <c r="F2293" s="1"/>
      <c r="G2293" s="1"/>
      <c r="I2293" s="1"/>
      <c r="J2293" s="1"/>
      <c r="L2293" s="1"/>
      <c r="M2293" s="1"/>
      <c r="O2293" s="2"/>
      <c r="P2293" s="2"/>
    </row>
    <row r="2294" spans="1:16" x14ac:dyDescent="0.25">
      <c r="A2294" s="2"/>
      <c r="B2294" s="2"/>
      <c r="F2294" s="1"/>
      <c r="G2294" s="1"/>
      <c r="I2294" s="1"/>
      <c r="J2294" s="1"/>
      <c r="L2294" s="1"/>
      <c r="M2294" s="1"/>
      <c r="O2294" s="2"/>
      <c r="P2294" s="2"/>
    </row>
    <row r="2295" spans="1:16" x14ac:dyDescent="0.25">
      <c r="A2295" s="2"/>
      <c r="B2295" s="2"/>
      <c r="F2295" s="1"/>
      <c r="G2295" s="1"/>
      <c r="I2295" s="1"/>
      <c r="J2295" s="1"/>
      <c r="L2295" s="1"/>
      <c r="M2295" s="1"/>
      <c r="O2295" s="2"/>
      <c r="P2295" s="2"/>
    </row>
    <row r="2296" spans="1:16" x14ac:dyDescent="0.25">
      <c r="A2296" s="2"/>
      <c r="B2296" s="2"/>
      <c r="F2296" s="1"/>
      <c r="G2296" s="1"/>
      <c r="I2296" s="1"/>
      <c r="J2296" s="1"/>
      <c r="L2296" s="1"/>
      <c r="M2296" s="1"/>
      <c r="O2296" s="2"/>
      <c r="P2296" s="2"/>
    </row>
    <row r="2297" spans="1:16" x14ac:dyDescent="0.25">
      <c r="A2297" s="2"/>
      <c r="B2297" s="2"/>
      <c r="F2297" s="1"/>
      <c r="G2297" s="1"/>
      <c r="I2297" s="1"/>
      <c r="J2297" s="1"/>
      <c r="L2297" s="1"/>
      <c r="M2297" s="1"/>
      <c r="O2297" s="2"/>
      <c r="P2297" s="2"/>
    </row>
    <row r="2298" spans="1:16" x14ac:dyDescent="0.25">
      <c r="A2298" s="2"/>
      <c r="B2298" s="2"/>
      <c r="F2298" s="1"/>
      <c r="G2298" s="1"/>
      <c r="I2298" s="1"/>
      <c r="J2298" s="1"/>
      <c r="L2298" s="1"/>
      <c r="M2298" s="1"/>
      <c r="O2298" s="2"/>
      <c r="P2298" s="2"/>
    </row>
    <row r="2299" spans="1:16" x14ac:dyDescent="0.25">
      <c r="A2299" s="2"/>
      <c r="B2299" s="2"/>
      <c r="F2299" s="1"/>
      <c r="G2299" s="1"/>
      <c r="I2299" s="1"/>
      <c r="J2299" s="1"/>
      <c r="L2299" s="1"/>
      <c r="M2299" s="1"/>
      <c r="O2299" s="2"/>
      <c r="P2299" s="2"/>
    </row>
    <row r="2300" spans="1:16" x14ac:dyDescent="0.25">
      <c r="A2300" s="2"/>
      <c r="B2300" s="2"/>
      <c r="F2300" s="1"/>
      <c r="G2300" s="1"/>
      <c r="I2300" s="1"/>
      <c r="J2300" s="1"/>
      <c r="L2300" s="1"/>
      <c r="M2300" s="1"/>
      <c r="O2300" s="2"/>
      <c r="P2300" s="2"/>
    </row>
    <row r="2301" spans="1:16" x14ac:dyDescent="0.25">
      <c r="A2301" s="2"/>
      <c r="B2301" s="2"/>
      <c r="F2301" s="1"/>
      <c r="G2301" s="1"/>
      <c r="I2301" s="1"/>
      <c r="J2301" s="1"/>
      <c r="L2301" s="1"/>
      <c r="M2301" s="1"/>
      <c r="O2301" s="2"/>
      <c r="P2301" s="2"/>
    </row>
    <row r="2302" spans="1:16" x14ac:dyDescent="0.25">
      <c r="A2302" s="2"/>
      <c r="B2302" s="2"/>
      <c r="F2302" s="1"/>
      <c r="G2302" s="1"/>
      <c r="I2302" s="1"/>
      <c r="J2302" s="1"/>
      <c r="L2302" s="1"/>
      <c r="M2302" s="1"/>
      <c r="O2302" s="2"/>
      <c r="P2302" s="2"/>
    </row>
    <row r="2303" spans="1:16" x14ac:dyDescent="0.25">
      <c r="A2303" s="2"/>
      <c r="B2303" s="2"/>
      <c r="F2303" s="1"/>
      <c r="G2303" s="1"/>
      <c r="I2303" s="1"/>
      <c r="J2303" s="1"/>
      <c r="L2303" s="1"/>
      <c r="M2303" s="1"/>
      <c r="O2303" s="2"/>
      <c r="P2303" s="2"/>
    </row>
    <row r="2304" spans="1:16" x14ac:dyDescent="0.25">
      <c r="A2304" s="2"/>
      <c r="B2304" s="2"/>
      <c r="F2304" s="1"/>
      <c r="G2304" s="1"/>
      <c r="I2304" s="1"/>
      <c r="J2304" s="1"/>
      <c r="L2304" s="1"/>
      <c r="M2304" s="1"/>
      <c r="O2304" s="2"/>
      <c r="P2304" s="2"/>
    </row>
    <row r="2305" spans="1:16" x14ac:dyDescent="0.25">
      <c r="A2305" s="2"/>
      <c r="B2305" s="2"/>
      <c r="F2305" s="1"/>
      <c r="G2305" s="1"/>
      <c r="I2305" s="1"/>
      <c r="J2305" s="1"/>
      <c r="L2305" s="1"/>
      <c r="M2305" s="1"/>
      <c r="O2305" s="2"/>
      <c r="P2305" s="2"/>
    </row>
    <row r="2306" spans="1:16" x14ac:dyDescent="0.25">
      <c r="A2306" s="2"/>
      <c r="B2306" s="2"/>
      <c r="F2306" s="1"/>
      <c r="G2306" s="1"/>
      <c r="I2306" s="1"/>
      <c r="J2306" s="1"/>
      <c r="L2306" s="1"/>
      <c r="M2306" s="1"/>
      <c r="O2306" s="2"/>
      <c r="P2306" s="2"/>
    </row>
    <row r="2307" spans="1:16" x14ac:dyDescent="0.25">
      <c r="A2307" s="2"/>
      <c r="B2307" s="2"/>
      <c r="F2307" s="1"/>
      <c r="G2307" s="1"/>
      <c r="I2307" s="1"/>
      <c r="J2307" s="1"/>
      <c r="L2307" s="1"/>
      <c r="M2307" s="1"/>
      <c r="O2307" s="2"/>
      <c r="P2307" s="2"/>
    </row>
    <row r="2308" spans="1:16" x14ac:dyDescent="0.25">
      <c r="A2308" s="2"/>
      <c r="B2308" s="2"/>
      <c r="F2308" s="1"/>
      <c r="G2308" s="1"/>
      <c r="I2308" s="1"/>
      <c r="J2308" s="1"/>
      <c r="L2308" s="1"/>
      <c r="M2308" s="1"/>
      <c r="O2308" s="2"/>
      <c r="P2308" s="2"/>
    </row>
    <row r="2309" spans="1:16" x14ac:dyDescent="0.25">
      <c r="A2309" s="2"/>
      <c r="B2309" s="2"/>
      <c r="F2309" s="1"/>
      <c r="G2309" s="1"/>
      <c r="I2309" s="1"/>
      <c r="J2309" s="1"/>
      <c r="L2309" s="1"/>
      <c r="M2309" s="1"/>
      <c r="O2309" s="2"/>
      <c r="P2309" s="2"/>
    </row>
    <row r="2310" spans="1:16" x14ac:dyDescent="0.25">
      <c r="A2310" s="2"/>
      <c r="B2310" s="2"/>
      <c r="F2310" s="1"/>
      <c r="G2310" s="1"/>
      <c r="I2310" s="1"/>
      <c r="J2310" s="1"/>
      <c r="L2310" s="1"/>
      <c r="M2310" s="1"/>
      <c r="O2310" s="2"/>
      <c r="P2310" s="2"/>
    </row>
    <row r="2311" spans="1:16" x14ac:dyDescent="0.25">
      <c r="A2311" s="2"/>
      <c r="B2311" s="2"/>
      <c r="F2311" s="1"/>
      <c r="G2311" s="1"/>
      <c r="I2311" s="1"/>
      <c r="J2311" s="1"/>
      <c r="L2311" s="1"/>
      <c r="M2311" s="1"/>
      <c r="O2311" s="2"/>
      <c r="P2311" s="2"/>
    </row>
    <row r="2312" spans="1:16" x14ac:dyDescent="0.25">
      <c r="A2312" s="2"/>
      <c r="B2312" s="2"/>
      <c r="F2312" s="1"/>
      <c r="G2312" s="1"/>
      <c r="I2312" s="1"/>
      <c r="J2312" s="1"/>
      <c r="L2312" s="1"/>
      <c r="M2312" s="1"/>
      <c r="O2312" s="2"/>
      <c r="P2312" s="2"/>
    </row>
    <row r="2313" spans="1:16" x14ac:dyDescent="0.25">
      <c r="A2313" s="2"/>
      <c r="B2313" s="2"/>
      <c r="F2313" s="1"/>
      <c r="G2313" s="1"/>
      <c r="I2313" s="1"/>
      <c r="J2313" s="1"/>
      <c r="L2313" s="1"/>
      <c r="M2313" s="1"/>
      <c r="O2313" s="2"/>
      <c r="P2313" s="2"/>
    </row>
    <row r="2314" spans="1:16" x14ac:dyDescent="0.25">
      <c r="A2314" s="2"/>
      <c r="B2314" s="2"/>
      <c r="F2314" s="1"/>
      <c r="G2314" s="1"/>
      <c r="I2314" s="1"/>
      <c r="J2314" s="1"/>
      <c r="L2314" s="1"/>
      <c r="M2314" s="1"/>
      <c r="O2314" s="2"/>
      <c r="P2314" s="2"/>
    </row>
    <row r="2315" spans="1:16" x14ac:dyDescent="0.25">
      <c r="A2315" s="2"/>
      <c r="B2315" s="2"/>
      <c r="F2315" s="1"/>
      <c r="G2315" s="1"/>
      <c r="I2315" s="1"/>
      <c r="J2315" s="1"/>
      <c r="L2315" s="1"/>
      <c r="M2315" s="1"/>
      <c r="O2315" s="2"/>
      <c r="P2315" s="2"/>
    </row>
    <row r="2316" spans="1:16" x14ac:dyDescent="0.25">
      <c r="A2316" s="2"/>
      <c r="B2316" s="2"/>
      <c r="F2316" s="1"/>
      <c r="G2316" s="1"/>
      <c r="I2316" s="1"/>
      <c r="J2316" s="1"/>
      <c r="L2316" s="1"/>
      <c r="M2316" s="1"/>
      <c r="O2316" s="2"/>
      <c r="P2316" s="2"/>
    </row>
    <row r="2317" spans="1:16" x14ac:dyDescent="0.25">
      <c r="A2317" s="2"/>
      <c r="B2317" s="2"/>
      <c r="F2317" s="1"/>
      <c r="G2317" s="1"/>
      <c r="I2317" s="1"/>
      <c r="J2317" s="1"/>
      <c r="L2317" s="1"/>
      <c r="M2317" s="1"/>
      <c r="O2317" s="2"/>
      <c r="P2317" s="2"/>
    </row>
    <row r="2318" spans="1:16" x14ac:dyDescent="0.25">
      <c r="A2318" s="2"/>
      <c r="B2318" s="2"/>
      <c r="F2318" s="1"/>
      <c r="G2318" s="1"/>
      <c r="I2318" s="1"/>
      <c r="J2318" s="1"/>
      <c r="L2318" s="1"/>
      <c r="M2318" s="1"/>
      <c r="O2318" s="2"/>
      <c r="P2318" s="2"/>
    </row>
    <row r="2319" spans="1:16" x14ac:dyDescent="0.25">
      <c r="A2319" s="2"/>
      <c r="B2319" s="2"/>
      <c r="F2319" s="1"/>
      <c r="G2319" s="1"/>
      <c r="I2319" s="1"/>
      <c r="J2319" s="1"/>
      <c r="L2319" s="1"/>
      <c r="M2319" s="1"/>
      <c r="O2319" s="2"/>
      <c r="P2319" s="2"/>
    </row>
    <row r="2320" spans="1:16" x14ac:dyDescent="0.25">
      <c r="A2320" s="2"/>
      <c r="B2320" s="2"/>
      <c r="F2320" s="1"/>
      <c r="G2320" s="1"/>
      <c r="I2320" s="1"/>
      <c r="J2320" s="1"/>
      <c r="L2320" s="1"/>
      <c r="M2320" s="1"/>
      <c r="O2320" s="2"/>
      <c r="P2320" s="2"/>
    </row>
    <row r="2321" spans="1:16" x14ac:dyDescent="0.25">
      <c r="A2321" s="2"/>
      <c r="B2321" s="2"/>
      <c r="F2321" s="1"/>
      <c r="G2321" s="1"/>
      <c r="I2321" s="1"/>
      <c r="J2321" s="1"/>
      <c r="L2321" s="1"/>
      <c r="M2321" s="1"/>
      <c r="O2321" s="2"/>
      <c r="P2321" s="2"/>
    </row>
    <row r="2322" spans="1:16" x14ac:dyDescent="0.25">
      <c r="A2322" s="2"/>
      <c r="B2322" s="2"/>
      <c r="F2322" s="1"/>
      <c r="G2322" s="1"/>
      <c r="I2322" s="1"/>
      <c r="J2322" s="1"/>
      <c r="L2322" s="1"/>
      <c r="M2322" s="1"/>
      <c r="O2322" s="2"/>
      <c r="P2322" s="2"/>
    </row>
    <row r="2323" spans="1:16" x14ac:dyDescent="0.25">
      <c r="A2323" s="2"/>
      <c r="B2323" s="2"/>
      <c r="F2323" s="1"/>
      <c r="G2323" s="1"/>
      <c r="I2323" s="1"/>
      <c r="J2323" s="1"/>
      <c r="L2323" s="1"/>
      <c r="M2323" s="1"/>
      <c r="O2323" s="2"/>
      <c r="P2323" s="2"/>
    </row>
    <row r="2324" spans="1:16" x14ac:dyDescent="0.25">
      <c r="A2324" s="2"/>
      <c r="B2324" s="2"/>
      <c r="F2324" s="1"/>
      <c r="G2324" s="1"/>
      <c r="I2324" s="1"/>
      <c r="J2324" s="1"/>
      <c r="L2324" s="1"/>
      <c r="M2324" s="1"/>
      <c r="O2324" s="2"/>
      <c r="P2324" s="2"/>
    </row>
    <row r="2325" spans="1:16" x14ac:dyDescent="0.25">
      <c r="A2325" s="2"/>
      <c r="B2325" s="2"/>
      <c r="F2325" s="1"/>
      <c r="G2325" s="1"/>
      <c r="I2325" s="1"/>
      <c r="J2325" s="1"/>
      <c r="L2325" s="1"/>
      <c r="M2325" s="1"/>
      <c r="O2325" s="2"/>
      <c r="P2325" s="2"/>
    </row>
    <row r="2326" spans="1:16" x14ac:dyDescent="0.25">
      <c r="A2326" s="2"/>
      <c r="B2326" s="2"/>
      <c r="F2326" s="1"/>
      <c r="G2326" s="1"/>
      <c r="I2326" s="1"/>
      <c r="J2326" s="1"/>
      <c r="L2326" s="1"/>
      <c r="M2326" s="1"/>
      <c r="O2326" s="2"/>
      <c r="P2326" s="2"/>
    </row>
    <row r="2327" spans="1:16" x14ac:dyDescent="0.25">
      <c r="A2327" s="2"/>
      <c r="B2327" s="2"/>
      <c r="F2327" s="1"/>
      <c r="G2327" s="1"/>
      <c r="I2327" s="1"/>
      <c r="J2327" s="1"/>
      <c r="L2327" s="1"/>
      <c r="M2327" s="1"/>
      <c r="O2327" s="2"/>
      <c r="P2327" s="2"/>
    </row>
    <row r="2328" spans="1:16" x14ac:dyDescent="0.25">
      <c r="A2328" s="2"/>
      <c r="B2328" s="2"/>
      <c r="F2328" s="1"/>
      <c r="G2328" s="1"/>
      <c r="I2328" s="1"/>
      <c r="J2328" s="1"/>
      <c r="L2328" s="1"/>
      <c r="M2328" s="1"/>
      <c r="O2328" s="2"/>
      <c r="P2328" s="2"/>
    </row>
    <row r="2329" spans="1:16" x14ac:dyDescent="0.25">
      <c r="A2329" s="2"/>
      <c r="B2329" s="2"/>
      <c r="F2329" s="1"/>
      <c r="G2329" s="1"/>
      <c r="I2329" s="1"/>
      <c r="J2329" s="1"/>
      <c r="L2329" s="1"/>
      <c r="M2329" s="1"/>
      <c r="O2329" s="2"/>
      <c r="P2329" s="2"/>
    </row>
    <row r="2330" spans="1:16" x14ac:dyDescent="0.25">
      <c r="A2330" s="2"/>
      <c r="B2330" s="2"/>
      <c r="F2330" s="1"/>
      <c r="G2330" s="1"/>
      <c r="I2330" s="1"/>
      <c r="J2330" s="1"/>
      <c r="L2330" s="1"/>
      <c r="M2330" s="1"/>
      <c r="O2330" s="2"/>
      <c r="P2330" s="2"/>
    </row>
    <row r="2331" spans="1:16" x14ac:dyDescent="0.25">
      <c r="A2331" s="2"/>
      <c r="B2331" s="2"/>
      <c r="F2331" s="1"/>
      <c r="G2331" s="1"/>
      <c r="I2331" s="1"/>
      <c r="J2331" s="1"/>
      <c r="L2331" s="1"/>
      <c r="M2331" s="1"/>
      <c r="O2331" s="2"/>
      <c r="P2331" s="2"/>
    </row>
    <row r="2332" spans="1:16" x14ac:dyDescent="0.25">
      <c r="A2332" s="2"/>
      <c r="B2332" s="2"/>
      <c r="F2332" s="1"/>
      <c r="G2332" s="1"/>
      <c r="I2332" s="1"/>
      <c r="J2332" s="1"/>
      <c r="L2332" s="1"/>
      <c r="M2332" s="1"/>
      <c r="O2332" s="2"/>
      <c r="P2332" s="2"/>
    </row>
    <row r="2333" spans="1:16" x14ac:dyDescent="0.25">
      <c r="A2333" s="2"/>
      <c r="B2333" s="2"/>
      <c r="F2333" s="1"/>
      <c r="G2333" s="1"/>
      <c r="I2333" s="1"/>
      <c r="J2333" s="1"/>
      <c r="L2333" s="1"/>
      <c r="M2333" s="1"/>
      <c r="O2333" s="2"/>
      <c r="P2333" s="2"/>
    </row>
    <row r="2334" spans="1:16" x14ac:dyDescent="0.25">
      <c r="A2334" s="2"/>
      <c r="B2334" s="2"/>
      <c r="F2334" s="1"/>
      <c r="G2334" s="1"/>
      <c r="I2334" s="1"/>
      <c r="J2334" s="1"/>
      <c r="L2334" s="1"/>
      <c r="M2334" s="1"/>
      <c r="O2334" s="2"/>
      <c r="P2334" s="2"/>
    </row>
    <row r="2335" spans="1:16" x14ac:dyDescent="0.25">
      <c r="A2335" s="2"/>
      <c r="B2335" s="2"/>
      <c r="F2335" s="1"/>
      <c r="G2335" s="1"/>
      <c r="I2335" s="1"/>
      <c r="J2335" s="1"/>
      <c r="L2335" s="1"/>
      <c r="M2335" s="1"/>
      <c r="O2335" s="2"/>
      <c r="P2335" s="2"/>
    </row>
    <row r="2336" spans="1:16" x14ac:dyDescent="0.25">
      <c r="A2336" s="2"/>
      <c r="B2336" s="2"/>
      <c r="F2336" s="1"/>
      <c r="G2336" s="1"/>
      <c r="I2336" s="1"/>
      <c r="J2336" s="1"/>
      <c r="L2336" s="1"/>
      <c r="M2336" s="1"/>
      <c r="O2336" s="2"/>
      <c r="P2336" s="2"/>
    </row>
    <row r="2337" spans="1:16" x14ac:dyDescent="0.25">
      <c r="A2337" s="2"/>
      <c r="B2337" s="2"/>
      <c r="F2337" s="1"/>
      <c r="G2337" s="1"/>
      <c r="I2337" s="1"/>
      <c r="J2337" s="1"/>
      <c r="L2337" s="1"/>
      <c r="M2337" s="1"/>
      <c r="O2337" s="2"/>
      <c r="P2337" s="2"/>
    </row>
    <row r="2338" spans="1:16" x14ac:dyDescent="0.25">
      <c r="A2338" s="2"/>
      <c r="B2338" s="2"/>
      <c r="F2338" s="1"/>
      <c r="G2338" s="1"/>
      <c r="I2338" s="1"/>
      <c r="J2338" s="1"/>
      <c r="L2338" s="1"/>
      <c r="M2338" s="1"/>
      <c r="O2338" s="2"/>
      <c r="P2338" s="2"/>
    </row>
    <row r="2339" spans="1:16" x14ac:dyDescent="0.25">
      <c r="A2339" s="2"/>
      <c r="B2339" s="2"/>
      <c r="F2339" s="1"/>
      <c r="G2339" s="1"/>
      <c r="I2339" s="1"/>
      <c r="J2339" s="1"/>
      <c r="L2339" s="1"/>
      <c r="M2339" s="1"/>
      <c r="O2339" s="2"/>
      <c r="P2339" s="2"/>
    </row>
    <row r="2340" spans="1:16" x14ac:dyDescent="0.25">
      <c r="A2340" s="2"/>
      <c r="B2340" s="2"/>
      <c r="F2340" s="1"/>
      <c r="G2340" s="1"/>
      <c r="I2340" s="1"/>
      <c r="J2340" s="1"/>
      <c r="L2340" s="1"/>
      <c r="M2340" s="1"/>
      <c r="O2340" s="2"/>
      <c r="P2340" s="2"/>
    </row>
    <row r="2341" spans="1:16" x14ac:dyDescent="0.25">
      <c r="A2341" s="2"/>
      <c r="B2341" s="2"/>
      <c r="F2341" s="1"/>
      <c r="G2341" s="1"/>
      <c r="I2341" s="1"/>
      <c r="J2341" s="1"/>
      <c r="L2341" s="1"/>
      <c r="M2341" s="1"/>
      <c r="O2341" s="2"/>
      <c r="P2341" s="2"/>
    </row>
    <row r="2342" spans="1:16" x14ac:dyDescent="0.25">
      <c r="A2342" s="2"/>
      <c r="B2342" s="2"/>
      <c r="F2342" s="1"/>
      <c r="G2342" s="1"/>
      <c r="I2342" s="1"/>
      <c r="J2342" s="1"/>
      <c r="L2342" s="1"/>
      <c r="M2342" s="1"/>
      <c r="O2342" s="2"/>
      <c r="P2342" s="2"/>
    </row>
    <row r="2343" spans="1:16" x14ac:dyDescent="0.25">
      <c r="A2343" s="2"/>
      <c r="B2343" s="2"/>
      <c r="F2343" s="1"/>
      <c r="G2343" s="1"/>
      <c r="I2343" s="1"/>
      <c r="J2343" s="1"/>
      <c r="L2343" s="1"/>
      <c r="M2343" s="1"/>
      <c r="O2343" s="2"/>
      <c r="P2343" s="2"/>
    </row>
    <row r="2344" spans="1:16" x14ac:dyDescent="0.25">
      <c r="A2344" s="2"/>
      <c r="B2344" s="2"/>
      <c r="F2344" s="1"/>
      <c r="G2344" s="1"/>
      <c r="I2344" s="1"/>
      <c r="J2344" s="1"/>
      <c r="L2344" s="1"/>
      <c r="M2344" s="1"/>
      <c r="O2344" s="2"/>
      <c r="P2344" s="2"/>
    </row>
    <row r="2345" spans="1:16" x14ac:dyDescent="0.25">
      <c r="A2345" s="2"/>
      <c r="B2345" s="2"/>
      <c r="F2345" s="1"/>
      <c r="G2345" s="1"/>
      <c r="I2345" s="1"/>
      <c r="J2345" s="1"/>
      <c r="L2345" s="1"/>
      <c r="M2345" s="1"/>
      <c r="O2345" s="2"/>
      <c r="P2345" s="2"/>
    </row>
    <row r="2346" spans="1:16" x14ac:dyDescent="0.25">
      <c r="A2346" s="2"/>
      <c r="B2346" s="2"/>
      <c r="F2346" s="1"/>
      <c r="G2346" s="1"/>
      <c r="I2346" s="1"/>
      <c r="J2346" s="1"/>
      <c r="L2346" s="1"/>
      <c r="M2346" s="1"/>
      <c r="O2346" s="2"/>
      <c r="P2346" s="2"/>
    </row>
    <row r="2347" spans="1:16" x14ac:dyDescent="0.25">
      <c r="A2347" s="2"/>
      <c r="B2347" s="2"/>
      <c r="F2347" s="1"/>
      <c r="G2347" s="1"/>
      <c r="I2347" s="1"/>
      <c r="J2347" s="1"/>
      <c r="L2347" s="1"/>
      <c r="M2347" s="1"/>
      <c r="O2347" s="2"/>
      <c r="P2347" s="2"/>
    </row>
    <row r="2348" spans="1:16" x14ac:dyDescent="0.25">
      <c r="A2348" s="2"/>
      <c r="B2348" s="2"/>
      <c r="F2348" s="1"/>
      <c r="G2348" s="1"/>
      <c r="I2348" s="1"/>
      <c r="J2348" s="1"/>
      <c r="L2348" s="1"/>
      <c r="M2348" s="1"/>
      <c r="O2348" s="2"/>
      <c r="P2348" s="2"/>
    </row>
    <row r="2349" spans="1:16" x14ac:dyDescent="0.25">
      <c r="A2349" s="2"/>
      <c r="B2349" s="2"/>
      <c r="F2349" s="1"/>
      <c r="G2349" s="1"/>
      <c r="I2349" s="1"/>
      <c r="J2349" s="1"/>
      <c r="L2349" s="1"/>
      <c r="M2349" s="1"/>
      <c r="O2349" s="2"/>
      <c r="P2349" s="2"/>
    </row>
    <row r="2350" spans="1:16" x14ac:dyDescent="0.25">
      <c r="A2350" s="2"/>
      <c r="B2350" s="2"/>
      <c r="F2350" s="1"/>
      <c r="G2350" s="1"/>
      <c r="I2350" s="1"/>
      <c r="J2350" s="1"/>
      <c r="L2350" s="1"/>
      <c r="M2350" s="1"/>
      <c r="O2350" s="2"/>
      <c r="P2350" s="2"/>
    </row>
    <row r="2351" spans="1:16" x14ac:dyDescent="0.25">
      <c r="A2351" s="2"/>
      <c r="B2351" s="2"/>
      <c r="F2351" s="1"/>
      <c r="G2351" s="1"/>
      <c r="I2351" s="1"/>
      <c r="J2351" s="1"/>
      <c r="L2351" s="1"/>
      <c r="M2351" s="1"/>
      <c r="O2351" s="2"/>
      <c r="P2351" s="2"/>
    </row>
    <row r="2352" spans="1:16" x14ac:dyDescent="0.25">
      <c r="A2352" s="2"/>
      <c r="B2352" s="2"/>
      <c r="F2352" s="1"/>
      <c r="G2352" s="1"/>
      <c r="I2352" s="1"/>
      <c r="J2352" s="1"/>
      <c r="L2352" s="1"/>
      <c r="M2352" s="1"/>
      <c r="O2352" s="2"/>
      <c r="P2352" s="2"/>
    </row>
    <row r="2353" spans="1:16" x14ac:dyDescent="0.25">
      <c r="A2353" s="2"/>
      <c r="B2353" s="2"/>
      <c r="F2353" s="1"/>
      <c r="G2353" s="1"/>
      <c r="I2353" s="1"/>
      <c r="J2353" s="1"/>
      <c r="L2353" s="1"/>
      <c r="M2353" s="1"/>
      <c r="O2353" s="2"/>
      <c r="P2353" s="2"/>
    </row>
    <row r="2354" spans="1:16" x14ac:dyDescent="0.25">
      <c r="A2354" s="2"/>
      <c r="B2354" s="2"/>
      <c r="F2354" s="1"/>
      <c r="G2354" s="1"/>
      <c r="I2354" s="1"/>
      <c r="J2354" s="1"/>
      <c r="L2354" s="1"/>
      <c r="M2354" s="1"/>
      <c r="O2354" s="2"/>
      <c r="P2354" s="2"/>
    </row>
    <row r="2355" spans="1:16" x14ac:dyDescent="0.25">
      <c r="A2355" s="2"/>
      <c r="B2355" s="2"/>
      <c r="F2355" s="1"/>
      <c r="G2355" s="1"/>
      <c r="I2355" s="1"/>
      <c r="J2355" s="1"/>
      <c r="L2355" s="1"/>
      <c r="M2355" s="1"/>
      <c r="O2355" s="2"/>
      <c r="P2355" s="2"/>
    </row>
    <row r="2356" spans="1:16" x14ac:dyDescent="0.25">
      <c r="A2356" s="2"/>
      <c r="B2356" s="2"/>
      <c r="F2356" s="1"/>
      <c r="G2356" s="1"/>
      <c r="I2356" s="1"/>
      <c r="J2356" s="1"/>
      <c r="L2356" s="1"/>
      <c r="M2356" s="1"/>
      <c r="O2356" s="2"/>
      <c r="P2356" s="2"/>
    </row>
    <row r="2357" spans="1:16" x14ac:dyDescent="0.25">
      <c r="A2357" s="2"/>
      <c r="B2357" s="2"/>
      <c r="F2357" s="1"/>
      <c r="G2357" s="1"/>
      <c r="I2357" s="1"/>
      <c r="J2357" s="1"/>
      <c r="L2357" s="1"/>
      <c r="M2357" s="1"/>
      <c r="O2357" s="2"/>
      <c r="P2357" s="2"/>
    </row>
    <row r="2358" spans="1:16" x14ac:dyDescent="0.25">
      <c r="A2358" s="2"/>
      <c r="B2358" s="2"/>
      <c r="F2358" s="1"/>
      <c r="G2358" s="1"/>
      <c r="I2358" s="1"/>
      <c r="J2358" s="1"/>
      <c r="L2358" s="1"/>
      <c r="M2358" s="1"/>
      <c r="O2358" s="2"/>
      <c r="P2358" s="2"/>
    </row>
    <row r="2359" spans="1:16" x14ac:dyDescent="0.25">
      <c r="A2359" s="2"/>
      <c r="B2359" s="2"/>
      <c r="F2359" s="1"/>
      <c r="G2359" s="1"/>
      <c r="I2359" s="1"/>
      <c r="J2359" s="1"/>
      <c r="L2359" s="1"/>
      <c r="M2359" s="1"/>
      <c r="O2359" s="2"/>
      <c r="P2359" s="2"/>
    </row>
    <row r="2360" spans="1:16" x14ac:dyDescent="0.25">
      <c r="A2360" s="2"/>
      <c r="B2360" s="2"/>
      <c r="F2360" s="1"/>
      <c r="G2360" s="1"/>
      <c r="I2360" s="1"/>
      <c r="J2360" s="1"/>
      <c r="L2360" s="1"/>
      <c r="M2360" s="1"/>
      <c r="O2360" s="2"/>
      <c r="P2360" s="2"/>
    </row>
    <row r="2361" spans="1:16" x14ac:dyDescent="0.25">
      <c r="A2361" s="2"/>
      <c r="B2361" s="2"/>
      <c r="F2361" s="1"/>
      <c r="G2361" s="1"/>
      <c r="I2361" s="1"/>
      <c r="J2361" s="1"/>
      <c r="L2361" s="1"/>
      <c r="M2361" s="1"/>
      <c r="O2361" s="2"/>
      <c r="P2361" s="2"/>
    </row>
    <row r="2362" spans="1:16" x14ac:dyDescent="0.25">
      <c r="A2362" s="2"/>
      <c r="B2362" s="2"/>
      <c r="F2362" s="1"/>
      <c r="G2362" s="1"/>
      <c r="I2362" s="1"/>
      <c r="J2362" s="1"/>
      <c r="L2362" s="1"/>
      <c r="M2362" s="1"/>
      <c r="O2362" s="2"/>
      <c r="P2362" s="2"/>
    </row>
    <row r="2363" spans="1:16" x14ac:dyDescent="0.25">
      <c r="A2363" s="2"/>
      <c r="B2363" s="2"/>
      <c r="F2363" s="1"/>
      <c r="G2363" s="1"/>
      <c r="I2363" s="1"/>
      <c r="J2363" s="1"/>
      <c r="L2363" s="1"/>
      <c r="M2363" s="1"/>
      <c r="O2363" s="2"/>
      <c r="P2363" s="2"/>
    </row>
    <row r="2364" spans="1:16" x14ac:dyDescent="0.25">
      <c r="A2364" s="2"/>
      <c r="B2364" s="2"/>
      <c r="F2364" s="1"/>
      <c r="G2364" s="1"/>
      <c r="I2364" s="1"/>
      <c r="J2364" s="1"/>
      <c r="L2364" s="1"/>
      <c r="M2364" s="1"/>
      <c r="O2364" s="2"/>
      <c r="P2364" s="2"/>
    </row>
    <row r="2365" spans="1:16" x14ac:dyDescent="0.25">
      <c r="A2365" s="2"/>
      <c r="B2365" s="2"/>
      <c r="F2365" s="1"/>
      <c r="G2365" s="1"/>
      <c r="I2365" s="1"/>
      <c r="J2365" s="1"/>
      <c r="L2365" s="1"/>
      <c r="M2365" s="1"/>
      <c r="O2365" s="2"/>
      <c r="P2365" s="2"/>
    </row>
    <row r="2366" spans="1:16" x14ac:dyDescent="0.25">
      <c r="A2366" s="2"/>
      <c r="B2366" s="2"/>
      <c r="F2366" s="1"/>
      <c r="G2366" s="1"/>
      <c r="I2366" s="1"/>
      <c r="J2366" s="1"/>
      <c r="L2366" s="1"/>
      <c r="M2366" s="1"/>
      <c r="O2366" s="2"/>
      <c r="P2366" s="2"/>
    </row>
    <row r="2367" spans="1:16" x14ac:dyDescent="0.25">
      <c r="A2367" s="2"/>
      <c r="B2367" s="2"/>
      <c r="F2367" s="1"/>
      <c r="G2367" s="1"/>
      <c r="I2367" s="1"/>
      <c r="J2367" s="1"/>
      <c r="L2367" s="1"/>
      <c r="M2367" s="1"/>
      <c r="O2367" s="2"/>
      <c r="P2367" s="2"/>
    </row>
    <row r="2368" spans="1:16" x14ac:dyDescent="0.25">
      <c r="A2368" s="2"/>
      <c r="B2368" s="2"/>
      <c r="F2368" s="1"/>
      <c r="G2368" s="1"/>
      <c r="I2368" s="1"/>
      <c r="J2368" s="1"/>
      <c r="L2368" s="1"/>
      <c r="M2368" s="1"/>
      <c r="O2368" s="2"/>
      <c r="P2368" s="2"/>
    </row>
    <row r="2369" spans="1:16" x14ac:dyDescent="0.25">
      <c r="A2369" s="2"/>
      <c r="B2369" s="2"/>
      <c r="F2369" s="1"/>
      <c r="G2369" s="1"/>
      <c r="I2369" s="1"/>
      <c r="J2369" s="1"/>
      <c r="L2369" s="1"/>
      <c r="M2369" s="1"/>
      <c r="O2369" s="2"/>
      <c r="P2369" s="2"/>
    </row>
    <row r="2370" spans="1:16" x14ac:dyDescent="0.25">
      <c r="A2370" s="2"/>
      <c r="B2370" s="2"/>
      <c r="F2370" s="1"/>
      <c r="G2370" s="1"/>
      <c r="I2370" s="1"/>
      <c r="J2370" s="1"/>
      <c r="L2370" s="1"/>
      <c r="M2370" s="1"/>
      <c r="O2370" s="2"/>
      <c r="P2370" s="2"/>
    </row>
    <row r="2371" spans="1:16" x14ac:dyDescent="0.25">
      <c r="A2371" s="2"/>
      <c r="B2371" s="2"/>
      <c r="F2371" s="1"/>
      <c r="G2371" s="1"/>
      <c r="I2371" s="1"/>
      <c r="J2371" s="1"/>
      <c r="L2371" s="1"/>
      <c r="M2371" s="1"/>
      <c r="O2371" s="2"/>
      <c r="P2371" s="2"/>
    </row>
    <row r="2372" spans="1:16" x14ac:dyDescent="0.25">
      <c r="A2372" s="2"/>
      <c r="B2372" s="2"/>
      <c r="F2372" s="1"/>
      <c r="G2372" s="1"/>
      <c r="I2372" s="1"/>
      <c r="J2372" s="1"/>
      <c r="L2372" s="1"/>
      <c r="M2372" s="1"/>
      <c r="O2372" s="2"/>
      <c r="P2372" s="2"/>
    </row>
    <row r="2373" spans="1:16" x14ac:dyDescent="0.25">
      <c r="A2373" s="2"/>
      <c r="B2373" s="2"/>
      <c r="F2373" s="1"/>
      <c r="G2373" s="1"/>
      <c r="I2373" s="1"/>
      <c r="J2373" s="1"/>
      <c r="L2373" s="1"/>
      <c r="M2373" s="1"/>
      <c r="O2373" s="2"/>
      <c r="P2373" s="2"/>
    </row>
    <row r="2374" spans="1:16" x14ac:dyDescent="0.25">
      <c r="A2374" s="2"/>
      <c r="B2374" s="2"/>
      <c r="F2374" s="1"/>
      <c r="G2374" s="1"/>
      <c r="I2374" s="1"/>
      <c r="J2374" s="1"/>
      <c r="L2374" s="1"/>
      <c r="M2374" s="1"/>
      <c r="O2374" s="2"/>
      <c r="P2374" s="2"/>
    </row>
    <row r="2375" spans="1:16" x14ac:dyDescent="0.25">
      <c r="A2375" s="2"/>
      <c r="B2375" s="2"/>
      <c r="F2375" s="1"/>
      <c r="G2375" s="1"/>
      <c r="I2375" s="1"/>
      <c r="J2375" s="1"/>
      <c r="L2375" s="1"/>
      <c r="M2375" s="1"/>
      <c r="O2375" s="2"/>
      <c r="P2375" s="2"/>
    </row>
    <row r="2376" spans="1:16" x14ac:dyDescent="0.25">
      <c r="A2376" s="2"/>
      <c r="B2376" s="2"/>
      <c r="F2376" s="1"/>
      <c r="G2376" s="1"/>
      <c r="I2376" s="1"/>
      <c r="J2376" s="1"/>
      <c r="L2376" s="1"/>
      <c r="M2376" s="1"/>
      <c r="O2376" s="2"/>
      <c r="P2376" s="2"/>
    </row>
    <row r="2377" spans="1:16" x14ac:dyDescent="0.25">
      <c r="A2377" s="2"/>
      <c r="B2377" s="2"/>
      <c r="F2377" s="1"/>
      <c r="G2377" s="1"/>
      <c r="I2377" s="1"/>
      <c r="J2377" s="1"/>
      <c r="L2377" s="1"/>
      <c r="M2377" s="1"/>
      <c r="O2377" s="2"/>
      <c r="P2377" s="2"/>
    </row>
    <row r="2378" spans="1:16" x14ac:dyDescent="0.25">
      <c r="A2378" s="2"/>
      <c r="B2378" s="2"/>
      <c r="F2378" s="1"/>
      <c r="G2378" s="1"/>
      <c r="I2378" s="1"/>
      <c r="J2378" s="1"/>
      <c r="L2378" s="1"/>
      <c r="M2378" s="1"/>
      <c r="O2378" s="2"/>
      <c r="P2378" s="2"/>
    </row>
    <row r="2379" spans="1:16" x14ac:dyDescent="0.25">
      <c r="A2379" s="2"/>
      <c r="B2379" s="2"/>
      <c r="F2379" s="1"/>
      <c r="G2379" s="1"/>
      <c r="I2379" s="1"/>
      <c r="J2379" s="1"/>
      <c r="L2379" s="1"/>
      <c r="M2379" s="1"/>
      <c r="O2379" s="2"/>
      <c r="P2379" s="2"/>
    </row>
    <row r="2380" spans="1:16" x14ac:dyDescent="0.25">
      <c r="A2380" s="2"/>
      <c r="B2380" s="2"/>
      <c r="F2380" s="1"/>
      <c r="G2380" s="1"/>
      <c r="I2380" s="1"/>
      <c r="J2380" s="1"/>
      <c r="L2380" s="1"/>
      <c r="M2380" s="1"/>
      <c r="O2380" s="2"/>
      <c r="P2380" s="2"/>
    </row>
    <row r="2381" spans="1:16" x14ac:dyDescent="0.25">
      <c r="A2381" s="2"/>
      <c r="B2381" s="2"/>
      <c r="F2381" s="1"/>
      <c r="G2381" s="1"/>
      <c r="I2381" s="1"/>
      <c r="J2381" s="1"/>
      <c r="L2381" s="1"/>
      <c r="M2381" s="1"/>
      <c r="O2381" s="2"/>
      <c r="P2381" s="2"/>
    </row>
    <row r="2382" spans="1:16" x14ac:dyDescent="0.25">
      <c r="A2382" s="2"/>
      <c r="B2382" s="2"/>
      <c r="F2382" s="1"/>
      <c r="G2382" s="1"/>
      <c r="I2382" s="1"/>
      <c r="J2382" s="1"/>
      <c r="L2382" s="1"/>
      <c r="M2382" s="1"/>
      <c r="O2382" s="2"/>
      <c r="P2382" s="2"/>
    </row>
    <row r="2383" spans="1:16" x14ac:dyDescent="0.25">
      <c r="A2383" s="2"/>
      <c r="B2383" s="2"/>
      <c r="F2383" s="1"/>
      <c r="G2383" s="1"/>
      <c r="I2383" s="1"/>
      <c r="J2383" s="1"/>
      <c r="L2383" s="1"/>
      <c r="M2383" s="1"/>
      <c r="O2383" s="2"/>
      <c r="P2383" s="2"/>
    </row>
    <row r="2384" spans="1:16" x14ac:dyDescent="0.25">
      <c r="A2384" s="2"/>
      <c r="B2384" s="2"/>
      <c r="F2384" s="1"/>
      <c r="G2384" s="1"/>
      <c r="I2384" s="1"/>
      <c r="J2384" s="1"/>
      <c r="L2384" s="1"/>
      <c r="M2384" s="1"/>
      <c r="O2384" s="2"/>
      <c r="P2384" s="2"/>
    </row>
    <row r="2385" spans="1:16" x14ac:dyDescent="0.25">
      <c r="A2385" s="2"/>
      <c r="B2385" s="2"/>
      <c r="F2385" s="1"/>
      <c r="G2385" s="1"/>
      <c r="I2385" s="1"/>
      <c r="J2385" s="1"/>
      <c r="L2385" s="1"/>
      <c r="M2385" s="1"/>
      <c r="O2385" s="2"/>
      <c r="P2385" s="2"/>
    </row>
    <row r="2386" spans="1:16" x14ac:dyDescent="0.25">
      <c r="A2386" s="2"/>
      <c r="B2386" s="2"/>
      <c r="F2386" s="1"/>
      <c r="G2386" s="1"/>
      <c r="I2386" s="1"/>
      <c r="J2386" s="1"/>
      <c r="L2386" s="1"/>
      <c r="M2386" s="1"/>
      <c r="O2386" s="2"/>
      <c r="P2386" s="2"/>
    </row>
    <row r="2387" spans="1:16" x14ac:dyDescent="0.25">
      <c r="A2387" s="2"/>
      <c r="B2387" s="2"/>
      <c r="F2387" s="1"/>
      <c r="G2387" s="1"/>
      <c r="I2387" s="1"/>
      <c r="J2387" s="1"/>
      <c r="L2387" s="1"/>
      <c r="M2387" s="1"/>
      <c r="O2387" s="2"/>
      <c r="P2387" s="2"/>
    </row>
    <row r="2388" spans="1:16" x14ac:dyDescent="0.25">
      <c r="A2388" s="2"/>
      <c r="B2388" s="2"/>
      <c r="F2388" s="1"/>
      <c r="G2388" s="1"/>
      <c r="I2388" s="1"/>
      <c r="J2388" s="1"/>
      <c r="L2388" s="1"/>
      <c r="M2388" s="1"/>
      <c r="O2388" s="2"/>
      <c r="P2388" s="2"/>
    </row>
    <row r="2389" spans="1:16" x14ac:dyDescent="0.25">
      <c r="A2389" s="2"/>
      <c r="B2389" s="2"/>
      <c r="F2389" s="1"/>
      <c r="G2389" s="1"/>
      <c r="I2389" s="1"/>
      <c r="J2389" s="1"/>
      <c r="L2389" s="1"/>
      <c r="M2389" s="1"/>
      <c r="O2389" s="2"/>
      <c r="P2389" s="2"/>
    </row>
    <row r="2390" spans="1:16" x14ac:dyDescent="0.25">
      <c r="A2390" s="2"/>
      <c r="B2390" s="2"/>
      <c r="F2390" s="1"/>
      <c r="G2390" s="1"/>
      <c r="I2390" s="1"/>
      <c r="J2390" s="1"/>
      <c r="L2390" s="1"/>
      <c r="M2390" s="1"/>
      <c r="O2390" s="2"/>
      <c r="P2390" s="2"/>
    </row>
    <row r="2391" spans="1:16" x14ac:dyDescent="0.25">
      <c r="A2391" s="2"/>
      <c r="B2391" s="2"/>
      <c r="F2391" s="1"/>
      <c r="G2391" s="1"/>
      <c r="I2391" s="1"/>
      <c r="J2391" s="1"/>
      <c r="L2391" s="1"/>
      <c r="M2391" s="1"/>
      <c r="O2391" s="2"/>
      <c r="P2391" s="2"/>
    </row>
    <row r="2392" spans="1:16" x14ac:dyDescent="0.25">
      <c r="A2392" s="2"/>
      <c r="B2392" s="2"/>
      <c r="F2392" s="1"/>
      <c r="G2392" s="1"/>
      <c r="I2392" s="1"/>
      <c r="J2392" s="1"/>
      <c r="L2392" s="1"/>
      <c r="M2392" s="1"/>
      <c r="O2392" s="2"/>
      <c r="P2392" s="2"/>
    </row>
    <row r="2393" spans="1:16" x14ac:dyDescent="0.25">
      <c r="A2393" s="2"/>
      <c r="B2393" s="2"/>
      <c r="F2393" s="1"/>
      <c r="G2393" s="1"/>
      <c r="I2393" s="1"/>
      <c r="J2393" s="1"/>
      <c r="L2393" s="1"/>
      <c r="M2393" s="1"/>
      <c r="O2393" s="2"/>
      <c r="P2393" s="2"/>
    </row>
    <row r="2394" spans="1:16" x14ac:dyDescent="0.25">
      <c r="A2394" s="2"/>
      <c r="B2394" s="2"/>
      <c r="F2394" s="1"/>
      <c r="G2394" s="1"/>
      <c r="I2394" s="1"/>
      <c r="J2394" s="1"/>
      <c r="L2394" s="1"/>
      <c r="M2394" s="1"/>
      <c r="O2394" s="2"/>
      <c r="P2394" s="2"/>
    </row>
    <row r="2395" spans="1:16" x14ac:dyDescent="0.25">
      <c r="A2395" s="2"/>
      <c r="B2395" s="2"/>
      <c r="F2395" s="1"/>
      <c r="G2395" s="1"/>
      <c r="I2395" s="1"/>
      <c r="J2395" s="1"/>
      <c r="L2395" s="1"/>
      <c r="M2395" s="1"/>
      <c r="O2395" s="2"/>
      <c r="P2395" s="2"/>
    </row>
    <row r="2396" spans="1:16" x14ac:dyDescent="0.25">
      <c r="A2396" s="2"/>
      <c r="B2396" s="2"/>
      <c r="F2396" s="1"/>
      <c r="G2396" s="1"/>
      <c r="I2396" s="1"/>
      <c r="J2396" s="1"/>
      <c r="L2396" s="1"/>
      <c r="M2396" s="1"/>
      <c r="O2396" s="2"/>
      <c r="P2396" s="2"/>
    </row>
    <row r="2397" spans="1:16" x14ac:dyDescent="0.25">
      <c r="A2397" s="2"/>
      <c r="B2397" s="2"/>
      <c r="F2397" s="1"/>
      <c r="G2397" s="1"/>
      <c r="I2397" s="1"/>
      <c r="J2397" s="1"/>
      <c r="L2397" s="1"/>
      <c r="M2397" s="1"/>
      <c r="O2397" s="2"/>
      <c r="P2397" s="2"/>
    </row>
    <row r="2398" spans="1:16" x14ac:dyDescent="0.25">
      <c r="A2398" s="2"/>
      <c r="B2398" s="2"/>
      <c r="F2398" s="1"/>
      <c r="G2398" s="1"/>
      <c r="I2398" s="1"/>
      <c r="J2398" s="1"/>
      <c r="L2398" s="1"/>
      <c r="M2398" s="1"/>
      <c r="O2398" s="2"/>
      <c r="P2398" s="2"/>
    </row>
    <row r="2399" spans="1:16" x14ac:dyDescent="0.25">
      <c r="A2399" s="2"/>
      <c r="B2399" s="2"/>
      <c r="F2399" s="1"/>
      <c r="G2399" s="1"/>
      <c r="I2399" s="1"/>
      <c r="J2399" s="1"/>
      <c r="L2399" s="1"/>
      <c r="M2399" s="1"/>
      <c r="O2399" s="2"/>
      <c r="P2399" s="2"/>
    </row>
    <row r="2400" spans="1:16" x14ac:dyDescent="0.25">
      <c r="A2400" s="2"/>
      <c r="B2400" s="2"/>
      <c r="F2400" s="1"/>
      <c r="G2400" s="1"/>
      <c r="I2400" s="1"/>
      <c r="J2400" s="1"/>
      <c r="L2400" s="1"/>
      <c r="M2400" s="1"/>
      <c r="O2400" s="2"/>
      <c r="P2400" s="2"/>
    </row>
    <row r="2401" spans="1:16" x14ac:dyDescent="0.25">
      <c r="A2401" s="2"/>
      <c r="B2401" s="2"/>
      <c r="F2401" s="1"/>
      <c r="G2401" s="1"/>
      <c r="I2401" s="1"/>
      <c r="J2401" s="1"/>
      <c r="L2401" s="1"/>
      <c r="M2401" s="1"/>
      <c r="O2401" s="2"/>
      <c r="P2401" s="2"/>
    </row>
    <row r="2402" spans="1:16" x14ac:dyDescent="0.25">
      <c r="A2402" s="2"/>
      <c r="B2402" s="2"/>
      <c r="F2402" s="1"/>
      <c r="G2402" s="1"/>
      <c r="I2402" s="1"/>
      <c r="J2402" s="1"/>
      <c r="L2402" s="1"/>
      <c r="M2402" s="1"/>
      <c r="O2402" s="2"/>
      <c r="P2402" s="2"/>
    </row>
    <row r="2403" spans="1:16" x14ac:dyDescent="0.25">
      <c r="A2403" s="2"/>
      <c r="B2403" s="2"/>
      <c r="F2403" s="1"/>
      <c r="G2403" s="1"/>
      <c r="I2403" s="1"/>
      <c r="J2403" s="1"/>
      <c r="L2403" s="1"/>
      <c r="M2403" s="1"/>
      <c r="O2403" s="2"/>
      <c r="P2403" s="2"/>
    </row>
    <row r="2404" spans="1:16" x14ac:dyDescent="0.25">
      <c r="A2404" s="2"/>
      <c r="B2404" s="2"/>
      <c r="F2404" s="1"/>
      <c r="G2404" s="1"/>
      <c r="I2404" s="1"/>
      <c r="J2404" s="1"/>
      <c r="L2404" s="1"/>
      <c r="M2404" s="1"/>
      <c r="O2404" s="2"/>
      <c r="P2404" s="2"/>
    </row>
    <row r="2405" spans="1:16" x14ac:dyDescent="0.25">
      <c r="A2405" s="2"/>
      <c r="B2405" s="2"/>
      <c r="F2405" s="1"/>
      <c r="G2405" s="1"/>
      <c r="I2405" s="1"/>
      <c r="J2405" s="1"/>
      <c r="L2405" s="1"/>
      <c r="M2405" s="1"/>
      <c r="O2405" s="2"/>
      <c r="P2405" s="2"/>
    </row>
    <row r="2406" spans="1:16" x14ac:dyDescent="0.25">
      <c r="A2406" s="2"/>
      <c r="B2406" s="2"/>
      <c r="F2406" s="1"/>
      <c r="G2406" s="1"/>
      <c r="I2406" s="1"/>
      <c r="J2406" s="1"/>
      <c r="L2406" s="1"/>
      <c r="M2406" s="1"/>
      <c r="O2406" s="2"/>
      <c r="P2406" s="2"/>
    </row>
    <row r="2407" spans="1:16" x14ac:dyDescent="0.25">
      <c r="A2407" s="2"/>
      <c r="B2407" s="2"/>
      <c r="F2407" s="1"/>
      <c r="G2407" s="1"/>
      <c r="I2407" s="1"/>
      <c r="J2407" s="1"/>
      <c r="L2407" s="1"/>
      <c r="M2407" s="1"/>
      <c r="O2407" s="2"/>
      <c r="P2407" s="2"/>
    </row>
    <row r="2408" spans="1:16" x14ac:dyDescent="0.25">
      <c r="A2408" s="2"/>
      <c r="B2408" s="2"/>
      <c r="F2408" s="1"/>
      <c r="G2408" s="1"/>
      <c r="I2408" s="1"/>
      <c r="J2408" s="1"/>
      <c r="L2408" s="1"/>
      <c r="M2408" s="1"/>
      <c r="O2408" s="2"/>
      <c r="P2408" s="2"/>
    </row>
    <row r="2409" spans="1:16" x14ac:dyDescent="0.25">
      <c r="A2409" s="2"/>
      <c r="B2409" s="2"/>
      <c r="F2409" s="1"/>
      <c r="G2409" s="1"/>
      <c r="I2409" s="1"/>
      <c r="J2409" s="1"/>
      <c r="L2409" s="1"/>
      <c r="M2409" s="1"/>
      <c r="O2409" s="2"/>
      <c r="P2409" s="2"/>
    </row>
    <row r="2410" spans="1:16" x14ac:dyDescent="0.25">
      <c r="A2410" s="2"/>
      <c r="B2410" s="2"/>
      <c r="F2410" s="1"/>
      <c r="G2410" s="1"/>
      <c r="I2410" s="1"/>
      <c r="J2410" s="1"/>
      <c r="L2410" s="1"/>
      <c r="M2410" s="1"/>
      <c r="O2410" s="2"/>
      <c r="P2410" s="2"/>
    </row>
    <row r="2411" spans="1:16" x14ac:dyDescent="0.25">
      <c r="A2411" s="2"/>
      <c r="B2411" s="2"/>
      <c r="F2411" s="1"/>
      <c r="G2411" s="1"/>
      <c r="I2411" s="1"/>
      <c r="J2411" s="1"/>
      <c r="L2411" s="1"/>
      <c r="M2411" s="1"/>
      <c r="O2411" s="2"/>
      <c r="P2411" s="2"/>
    </row>
    <row r="2412" spans="1:16" x14ac:dyDescent="0.25">
      <c r="A2412" s="2"/>
      <c r="B2412" s="2"/>
      <c r="F2412" s="1"/>
      <c r="G2412" s="1"/>
      <c r="I2412" s="1"/>
      <c r="J2412" s="1"/>
      <c r="L2412" s="1"/>
      <c r="M2412" s="1"/>
      <c r="O2412" s="2"/>
      <c r="P2412" s="2"/>
    </row>
    <row r="2413" spans="1:16" x14ac:dyDescent="0.25">
      <c r="A2413" s="2"/>
      <c r="B2413" s="2"/>
      <c r="F2413" s="1"/>
      <c r="G2413" s="1"/>
      <c r="I2413" s="1"/>
      <c r="J2413" s="1"/>
      <c r="L2413" s="1"/>
      <c r="M2413" s="1"/>
      <c r="O2413" s="2"/>
      <c r="P2413" s="2"/>
    </row>
    <row r="2414" spans="1:16" x14ac:dyDescent="0.25">
      <c r="A2414" s="2"/>
      <c r="B2414" s="2"/>
      <c r="F2414" s="1"/>
      <c r="G2414" s="1"/>
      <c r="I2414" s="1"/>
      <c r="J2414" s="1"/>
      <c r="L2414" s="1"/>
      <c r="M2414" s="1"/>
      <c r="O2414" s="2"/>
      <c r="P2414" s="2"/>
    </row>
    <row r="2415" spans="1:16" x14ac:dyDescent="0.25">
      <c r="A2415" s="2"/>
      <c r="B2415" s="2"/>
      <c r="F2415" s="1"/>
      <c r="G2415" s="1"/>
      <c r="I2415" s="1"/>
      <c r="J2415" s="1"/>
      <c r="L2415" s="1"/>
      <c r="M2415" s="1"/>
      <c r="O2415" s="2"/>
      <c r="P2415" s="2"/>
    </row>
    <row r="2416" spans="1:16" x14ac:dyDescent="0.25">
      <c r="A2416" s="2"/>
      <c r="B2416" s="2"/>
      <c r="F2416" s="1"/>
      <c r="G2416" s="1"/>
      <c r="I2416" s="1"/>
      <c r="J2416" s="1"/>
      <c r="L2416" s="1"/>
      <c r="M2416" s="1"/>
      <c r="O2416" s="2"/>
      <c r="P2416" s="2"/>
    </row>
    <row r="2417" spans="1:16" x14ac:dyDescent="0.25">
      <c r="A2417" s="2"/>
      <c r="B2417" s="2"/>
      <c r="F2417" s="1"/>
      <c r="G2417" s="1"/>
      <c r="I2417" s="1"/>
      <c r="J2417" s="1"/>
      <c r="L2417" s="1"/>
      <c r="M2417" s="1"/>
      <c r="O2417" s="2"/>
      <c r="P2417" s="2"/>
    </row>
    <row r="2418" spans="1:16" x14ac:dyDescent="0.25">
      <c r="A2418" s="2"/>
      <c r="B2418" s="2"/>
      <c r="F2418" s="1"/>
      <c r="G2418" s="1"/>
      <c r="I2418" s="1"/>
      <c r="J2418" s="1"/>
      <c r="L2418" s="1"/>
      <c r="M2418" s="1"/>
      <c r="O2418" s="2"/>
      <c r="P2418" s="2"/>
    </row>
    <row r="2419" spans="1:16" x14ac:dyDescent="0.25">
      <c r="A2419" s="2"/>
      <c r="B2419" s="2"/>
      <c r="F2419" s="1"/>
      <c r="G2419" s="1"/>
      <c r="I2419" s="1"/>
      <c r="J2419" s="1"/>
      <c r="L2419" s="1"/>
      <c r="M2419" s="1"/>
      <c r="O2419" s="2"/>
      <c r="P2419" s="2"/>
    </row>
    <row r="2420" spans="1:16" x14ac:dyDescent="0.25">
      <c r="A2420" s="2"/>
      <c r="B2420" s="2"/>
      <c r="F2420" s="1"/>
      <c r="G2420" s="1"/>
      <c r="I2420" s="1"/>
      <c r="J2420" s="1"/>
      <c r="L2420" s="1"/>
      <c r="M2420" s="1"/>
      <c r="O2420" s="2"/>
      <c r="P2420" s="2"/>
    </row>
    <row r="2421" spans="1:16" x14ac:dyDescent="0.25">
      <c r="A2421" s="2"/>
      <c r="B2421" s="2"/>
      <c r="F2421" s="1"/>
      <c r="G2421" s="1"/>
      <c r="I2421" s="1"/>
      <c r="J2421" s="1"/>
      <c r="L2421" s="1"/>
      <c r="M2421" s="1"/>
      <c r="O2421" s="2"/>
      <c r="P2421" s="2"/>
    </row>
    <row r="2422" spans="1:16" x14ac:dyDescent="0.25">
      <c r="A2422" s="2"/>
      <c r="B2422" s="2"/>
      <c r="F2422" s="1"/>
      <c r="G2422" s="1"/>
      <c r="I2422" s="1"/>
      <c r="J2422" s="1"/>
      <c r="L2422" s="1"/>
      <c r="M2422" s="1"/>
      <c r="O2422" s="2"/>
      <c r="P2422" s="2"/>
    </row>
    <row r="2423" spans="1:16" x14ac:dyDescent="0.25">
      <c r="A2423" s="2"/>
      <c r="B2423" s="2"/>
      <c r="F2423" s="1"/>
      <c r="G2423" s="1"/>
      <c r="I2423" s="1"/>
      <c r="J2423" s="1"/>
      <c r="L2423" s="1"/>
      <c r="M2423" s="1"/>
      <c r="O2423" s="2"/>
      <c r="P2423" s="2"/>
    </row>
    <row r="2424" spans="1:16" x14ac:dyDescent="0.25">
      <c r="A2424" s="2"/>
      <c r="B2424" s="2"/>
      <c r="F2424" s="1"/>
      <c r="G2424" s="1"/>
      <c r="I2424" s="1"/>
      <c r="J2424" s="1"/>
      <c r="L2424" s="1"/>
      <c r="M2424" s="1"/>
      <c r="O2424" s="2"/>
      <c r="P2424" s="2"/>
    </row>
    <row r="2425" spans="1:16" x14ac:dyDescent="0.25">
      <c r="A2425" s="2"/>
      <c r="B2425" s="2"/>
      <c r="F2425" s="1"/>
      <c r="G2425" s="1"/>
      <c r="I2425" s="1"/>
      <c r="J2425" s="1"/>
      <c r="L2425" s="1"/>
      <c r="M2425" s="1"/>
      <c r="O2425" s="2"/>
      <c r="P2425" s="2"/>
    </row>
    <row r="2426" spans="1:16" x14ac:dyDescent="0.25">
      <c r="A2426" s="2"/>
      <c r="B2426" s="2"/>
      <c r="F2426" s="1"/>
      <c r="G2426" s="1"/>
      <c r="I2426" s="1"/>
      <c r="J2426" s="1"/>
      <c r="L2426" s="1"/>
      <c r="M2426" s="1"/>
      <c r="O2426" s="2"/>
      <c r="P2426" s="2"/>
    </row>
    <row r="2427" spans="1:16" x14ac:dyDescent="0.25">
      <c r="A2427" s="2"/>
      <c r="B2427" s="2"/>
      <c r="F2427" s="1"/>
      <c r="G2427" s="1"/>
      <c r="I2427" s="1"/>
      <c r="J2427" s="1"/>
      <c r="L2427" s="1"/>
      <c r="M2427" s="1"/>
      <c r="O2427" s="2"/>
      <c r="P2427" s="2"/>
    </row>
    <row r="2428" spans="1:16" x14ac:dyDescent="0.25">
      <c r="A2428" s="2"/>
      <c r="B2428" s="2"/>
      <c r="F2428" s="1"/>
      <c r="G2428" s="1"/>
      <c r="I2428" s="1"/>
      <c r="J2428" s="1"/>
      <c r="L2428" s="1"/>
      <c r="M2428" s="1"/>
      <c r="O2428" s="2"/>
      <c r="P2428" s="2"/>
    </row>
    <row r="2429" spans="1:16" x14ac:dyDescent="0.25">
      <c r="A2429" s="2"/>
      <c r="B2429" s="2"/>
      <c r="F2429" s="1"/>
      <c r="G2429" s="1"/>
      <c r="I2429" s="1"/>
      <c r="J2429" s="1"/>
      <c r="L2429" s="1"/>
      <c r="M2429" s="1"/>
      <c r="O2429" s="2"/>
      <c r="P2429" s="2"/>
    </row>
    <row r="2430" spans="1:16" x14ac:dyDescent="0.25">
      <c r="A2430" s="2"/>
      <c r="B2430" s="2"/>
      <c r="F2430" s="1"/>
      <c r="G2430" s="1"/>
      <c r="I2430" s="1"/>
      <c r="J2430" s="1"/>
      <c r="L2430" s="1"/>
      <c r="M2430" s="1"/>
      <c r="O2430" s="2"/>
      <c r="P2430" s="2"/>
    </row>
    <row r="2431" spans="1:16" x14ac:dyDescent="0.25">
      <c r="A2431" s="2"/>
      <c r="B2431" s="2"/>
      <c r="F2431" s="1"/>
      <c r="G2431" s="1"/>
      <c r="I2431" s="1"/>
      <c r="J2431" s="1"/>
      <c r="L2431" s="1"/>
      <c r="M2431" s="1"/>
      <c r="O2431" s="2"/>
      <c r="P2431" s="2"/>
    </row>
    <row r="2432" spans="1:16" x14ac:dyDescent="0.25">
      <c r="A2432" s="2"/>
      <c r="B2432" s="2"/>
      <c r="F2432" s="1"/>
      <c r="G2432" s="1"/>
      <c r="I2432" s="1"/>
      <c r="J2432" s="1"/>
      <c r="L2432" s="1"/>
      <c r="M2432" s="1"/>
      <c r="O2432" s="2"/>
      <c r="P2432" s="2"/>
    </row>
    <row r="2433" spans="1:16" x14ac:dyDescent="0.25">
      <c r="A2433" s="2"/>
      <c r="B2433" s="2"/>
      <c r="F2433" s="1"/>
      <c r="G2433" s="1"/>
      <c r="I2433" s="1"/>
      <c r="J2433" s="1"/>
      <c r="L2433" s="1"/>
      <c r="M2433" s="1"/>
      <c r="O2433" s="2"/>
      <c r="P2433" s="2"/>
    </row>
    <row r="2434" spans="1:16" x14ac:dyDescent="0.25">
      <c r="A2434" s="2"/>
      <c r="B2434" s="2"/>
      <c r="F2434" s="1"/>
      <c r="G2434" s="1"/>
      <c r="I2434" s="1"/>
      <c r="J2434" s="1"/>
      <c r="L2434" s="1"/>
      <c r="M2434" s="1"/>
      <c r="O2434" s="2"/>
      <c r="P2434" s="2"/>
    </row>
    <row r="2435" spans="1:16" x14ac:dyDescent="0.25">
      <c r="A2435" s="2"/>
      <c r="B2435" s="2"/>
      <c r="F2435" s="1"/>
      <c r="G2435" s="1"/>
      <c r="I2435" s="1"/>
      <c r="J2435" s="1"/>
      <c r="L2435" s="1"/>
      <c r="M2435" s="1"/>
      <c r="O2435" s="2"/>
      <c r="P2435" s="2"/>
    </row>
    <row r="2436" spans="1:16" x14ac:dyDescent="0.25">
      <c r="A2436" s="2"/>
      <c r="B2436" s="2"/>
      <c r="F2436" s="1"/>
      <c r="G2436" s="1"/>
      <c r="I2436" s="1"/>
      <c r="J2436" s="1"/>
      <c r="L2436" s="1"/>
      <c r="M2436" s="1"/>
      <c r="O2436" s="2"/>
      <c r="P2436" s="2"/>
    </row>
    <row r="2437" spans="1:16" x14ac:dyDescent="0.25">
      <c r="A2437" s="2"/>
      <c r="B2437" s="2"/>
      <c r="F2437" s="1"/>
      <c r="G2437" s="1"/>
      <c r="I2437" s="1"/>
      <c r="J2437" s="1"/>
      <c r="L2437" s="1"/>
      <c r="M2437" s="1"/>
      <c r="O2437" s="2"/>
      <c r="P2437" s="2"/>
    </row>
    <row r="2438" spans="1:16" x14ac:dyDescent="0.25">
      <c r="A2438" s="2"/>
      <c r="B2438" s="2"/>
      <c r="F2438" s="1"/>
      <c r="G2438" s="1"/>
      <c r="I2438" s="1"/>
      <c r="J2438" s="1"/>
      <c r="L2438" s="1"/>
      <c r="M2438" s="1"/>
      <c r="O2438" s="2"/>
      <c r="P2438" s="2"/>
    </row>
    <row r="2439" spans="1:16" x14ac:dyDescent="0.25">
      <c r="A2439" s="2"/>
      <c r="B2439" s="2"/>
      <c r="F2439" s="1"/>
      <c r="G2439" s="1"/>
      <c r="I2439" s="1"/>
      <c r="J2439" s="1"/>
      <c r="L2439" s="1"/>
      <c r="M2439" s="1"/>
      <c r="O2439" s="2"/>
      <c r="P2439" s="2"/>
    </row>
    <row r="2440" spans="1:16" x14ac:dyDescent="0.25">
      <c r="A2440" s="2"/>
      <c r="B2440" s="2"/>
      <c r="F2440" s="1"/>
      <c r="G2440" s="1"/>
      <c r="I2440" s="1"/>
      <c r="J2440" s="1"/>
      <c r="L2440" s="1"/>
      <c r="M2440" s="1"/>
      <c r="O2440" s="2"/>
      <c r="P2440" s="2"/>
    </row>
    <row r="2441" spans="1:16" x14ac:dyDescent="0.25">
      <c r="A2441" s="2"/>
      <c r="B2441" s="2"/>
      <c r="F2441" s="1"/>
      <c r="G2441" s="1"/>
      <c r="I2441" s="1"/>
      <c r="J2441" s="1"/>
      <c r="L2441" s="1"/>
      <c r="M2441" s="1"/>
      <c r="O2441" s="2"/>
      <c r="P2441" s="2"/>
    </row>
    <row r="2442" spans="1:16" x14ac:dyDescent="0.25">
      <c r="A2442" s="2"/>
      <c r="B2442" s="2"/>
      <c r="F2442" s="1"/>
      <c r="G2442" s="1"/>
      <c r="I2442" s="1"/>
      <c r="J2442" s="1"/>
      <c r="L2442" s="1"/>
      <c r="M2442" s="1"/>
      <c r="O2442" s="2"/>
      <c r="P2442" s="2"/>
    </row>
    <row r="2443" spans="1:16" x14ac:dyDescent="0.25">
      <c r="A2443" s="2"/>
      <c r="B2443" s="2"/>
      <c r="F2443" s="1"/>
      <c r="G2443" s="1"/>
      <c r="I2443" s="1"/>
      <c r="J2443" s="1"/>
      <c r="L2443" s="1"/>
      <c r="M2443" s="1"/>
      <c r="O2443" s="2"/>
      <c r="P2443" s="2"/>
    </row>
    <row r="2444" spans="1:16" x14ac:dyDescent="0.25">
      <c r="A2444" s="2"/>
      <c r="B2444" s="2"/>
      <c r="F2444" s="1"/>
      <c r="G2444" s="1"/>
      <c r="I2444" s="1"/>
      <c r="J2444" s="1"/>
      <c r="L2444" s="1"/>
      <c r="M2444" s="1"/>
      <c r="O2444" s="2"/>
      <c r="P2444" s="2"/>
    </row>
    <row r="2445" spans="1:16" x14ac:dyDescent="0.25">
      <c r="A2445" s="2"/>
      <c r="B2445" s="2"/>
      <c r="F2445" s="1"/>
      <c r="G2445" s="1"/>
      <c r="I2445" s="1"/>
      <c r="J2445" s="1"/>
      <c r="L2445" s="1"/>
      <c r="M2445" s="1"/>
      <c r="O2445" s="2"/>
      <c r="P2445" s="2"/>
    </row>
    <row r="2446" spans="1:16" x14ac:dyDescent="0.25">
      <c r="A2446" s="2"/>
      <c r="B2446" s="2"/>
      <c r="F2446" s="1"/>
      <c r="G2446" s="1"/>
      <c r="I2446" s="1"/>
      <c r="J2446" s="1"/>
      <c r="L2446" s="1"/>
      <c r="M2446" s="1"/>
      <c r="O2446" s="2"/>
      <c r="P2446" s="2"/>
    </row>
    <row r="2447" spans="1:16" x14ac:dyDescent="0.25">
      <c r="A2447" s="2"/>
      <c r="B2447" s="2"/>
      <c r="F2447" s="1"/>
      <c r="G2447" s="1"/>
      <c r="I2447" s="1"/>
      <c r="J2447" s="1"/>
      <c r="L2447" s="1"/>
      <c r="M2447" s="1"/>
      <c r="O2447" s="2"/>
      <c r="P2447" s="2"/>
    </row>
    <row r="2448" spans="1:16" x14ac:dyDescent="0.25">
      <c r="A2448" s="2"/>
      <c r="B2448" s="2"/>
      <c r="F2448" s="1"/>
      <c r="G2448" s="1"/>
      <c r="I2448" s="1"/>
      <c r="J2448" s="1"/>
      <c r="L2448" s="1"/>
      <c r="M2448" s="1"/>
      <c r="O2448" s="2"/>
      <c r="P2448" s="2"/>
    </row>
    <row r="2449" spans="1:16" x14ac:dyDescent="0.25">
      <c r="A2449" s="2"/>
      <c r="B2449" s="2"/>
      <c r="F2449" s="1"/>
      <c r="G2449" s="1"/>
      <c r="I2449" s="1"/>
      <c r="J2449" s="1"/>
      <c r="L2449" s="1"/>
      <c r="M2449" s="1"/>
      <c r="O2449" s="2"/>
      <c r="P2449" s="2"/>
    </row>
    <row r="2450" spans="1:16" x14ac:dyDescent="0.25">
      <c r="A2450" s="2"/>
      <c r="B2450" s="2"/>
      <c r="F2450" s="1"/>
      <c r="G2450" s="1"/>
      <c r="I2450" s="1"/>
      <c r="J2450" s="1"/>
      <c r="L2450" s="1"/>
      <c r="M2450" s="1"/>
      <c r="O2450" s="2"/>
      <c r="P2450" s="2"/>
    </row>
    <row r="2451" spans="1:16" x14ac:dyDescent="0.25">
      <c r="A2451" s="2"/>
      <c r="B2451" s="2"/>
      <c r="F2451" s="1"/>
      <c r="G2451" s="1"/>
      <c r="I2451" s="1"/>
      <c r="J2451" s="1"/>
      <c r="L2451" s="1"/>
      <c r="M2451" s="1"/>
      <c r="O2451" s="2"/>
      <c r="P2451" s="2"/>
    </row>
    <row r="2452" spans="1:16" x14ac:dyDescent="0.25">
      <c r="A2452" s="2"/>
      <c r="B2452" s="2"/>
      <c r="F2452" s="1"/>
      <c r="G2452" s="1"/>
      <c r="I2452" s="1"/>
      <c r="J2452" s="1"/>
      <c r="L2452" s="1"/>
      <c r="M2452" s="1"/>
      <c r="O2452" s="2"/>
      <c r="P2452" s="2"/>
    </row>
    <row r="2453" spans="1:16" x14ac:dyDescent="0.25">
      <c r="A2453" s="2"/>
      <c r="B2453" s="2"/>
      <c r="F2453" s="1"/>
      <c r="G2453" s="1"/>
      <c r="I2453" s="1"/>
      <c r="J2453" s="1"/>
      <c r="L2453" s="1"/>
      <c r="M2453" s="1"/>
      <c r="O2453" s="2"/>
      <c r="P2453" s="2"/>
    </row>
    <row r="2454" spans="1:16" x14ac:dyDescent="0.25">
      <c r="A2454" s="2"/>
      <c r="B2454" s="2"/>
      <c r="F2454" s="1"/>
      <c r="G2454" s="1"/>
      <c r="I2454" s="1"/>
      <c r="J2454" s="1"/>
      <c r="L2454" s="1"/>
      <c r="M2454" s="1"/>
      <c r="O2454" s="2"/>
      <c r="P2454" s="2"/>
    </row>
    <row r="2455" spans="1:16" x14ac:dyDescent="0.25">
      <c r="A2455" s="2"/>
      <c r="B2455" s="2"/>
      <c r="F2455" s="1"/>
      <c r="G2455" s="1"/>
      <c r="I2455" s="1"/>
      <c r="J2455" s="1"/>
      <c r="L2455" s="1"/>
      <c r="M2455" s="1"/>
      <c r="O2455" s="2"/>
      <c r="P2455" s="2"/>
    </row>
    <row r="2456" spans="1:16" x14ac:dyDescent="0.25">
      <c r="A2456" s="2"/>
      <c r="B2456" s="2"/>
      <c r="F2456" s="1"/>
      <c r="G2456" s="1"/>
      <c r="I2456" s="1"/>
      <c r="J2456" s="1"/>
      <c r="L2456" s="1"/>
      <c r="M2456" s="1"/>
      <c r="O2456" s="2"/>
      <c r="P2456" s="2"/>
    </row>
    <row r="2457" spans="1:16" x14ac:dyDescent="0.25">
      <c r="A2457" s="2"/>
      <c r="B2457" s="2"/>
      <c r="F2457" s="1"/>
      <c r="G2457" s="1"/>
      <c r="I2457" s="1"/>
      <c r="J2457" s="1"/>
      <c r="L2457" s="1"/>
      <c r="M2457" s="1"/>
      <c r="O2457" s="2"/>
      <c r="P2457" s="2"/>
    </row>
    <row r="2458" spans="1:16" x14ac:dyDescent="0.25">
      <c r="A2458" s="2"/>
      <c r="B2458" s="2"/>
      <c r="F2458" s="1"/>
      <c r="G2458" s="1"/>
      <c r="I2458" s="1"/>
      <c r="J2458" s="1"/>
      <c r="L2458" s="1"/>
      <c r="M2458" s="1"/>
      <c r="O2458" s="2"/>
      <c r="P2458" s="2"/>
    </row>
    <row r="2459" spans="1:16" x14ac:dyDescent="0.25">
      <c r="A2459" s="2"/>
      <c r="B2459" s="2"/>
      <c r="F2459" s="1"/>
      <c r="G2459" s="1"/>
      <c r="I2459" s="1"/>
      <c r="J2459" s="1"/>
      <c r="L2459" s="1"/>
      <c r="M2459" s="1"/>
      <c r="O2459" s="2"/>
      <c r="P2459" s="2"/>
    </row>
    <row r="2460" spans="1:16" x14ac:dyDescent="0.25">
      <c r="A2460" s="2"/>
      <c r="B2460" s="2"/>
      <c r="F2460" s="1"/>
      <c r="G2460" s="1"/>
      <c r="I2460" s="1"/>
      <c r="J2460" s="1"/>
      <c r="L2460" s="1"/>
      <c r="M2460" s="1"/>
      <c r="O2460" s="2"/>
      <c r="P2460" s="2"/>
    </row>
    <row r="2461" spans="1:16" x14ac:dyDescent="0.25">
      <c r="A2461" s="2"/>
      <c r="B2461" s="2"/>
      <c r="F2461" s="1"/>
      <c r="G2461" s="1"/>
      <c r="I2461" s="1"/>
      <c r="J2461" s="1"/>
      <c r="L2461" s="1"/>
      <c r="M2461" s="1"/>
      <c r="O2461" s="2"/>
      <c r="P2461" s="2"/>
    </row>
    <row r="2462" spans="1:16" x14ac:dyDescent="0.25">
      <c r="A2462" s="2"/>
      <c r="B2462" s="2"/>
      <c r="F2462" s="1"/>
      <c r="G2462" s="1"/>
      <c r="I2462" s="1"/>
      <c r="J2462" s="1"/>
      <c r="L2462" s="1"/>
      <c r="M2462" s="1"/>
      <c r="O2462" s="2"/>
      <c r="P2462" s="2"/>
    </row>
    <row r="2463" spans="1:16" x14ac:dyDescent="0.25">
      <c r="A2463" s="2"/>
      <c r="B2463" s="2"/>
      <c r="F2463" s="1"/>
      <c r="G2463" s="1"/>
      <c r="I2463" s="1"/>
      <c r="J2463" s="1"/>
      <c r="L2463" s="1"/>
      <c r="M2463" s="1"/>
      <c r="O2463" s="2"/>
      <c r="P2463" s="2"/>
    </row>
    <row r="2464" spans="1:16" x14ac:dyDescent="0.25">
      <c r="A2464" s="2"/>
      <c r="B2464" s="2"/>
      <c r="F2464" s="1"/>
      <c r="G2464" s="1"/>
      <c r="I2464" s="1"/>
      <c r="J2464" s="1"/>
      <c r="L2464" s="1"/>
      <c r="M2464" s="1"/>
      <c r="O2464" s="2"/>
      <c r="P2464" s="2"/>
    </row>
    <row r="2465" spans="1:16" x14ac:dyDescent="0.25">
      <c r="A2465" s="2"/>
      <c r="B2465" s="2"/>
      <c r="F2465" s="1"/>
      <c r="G2465" s="1"/>
      <c r="I2465" s="1"/>
      <c r="J2465" s="1"/>
      <c r="L2465" s="1"/>
      <c r="M2465" s="1"/>
      <c r="O2465" s="2"/>
      <c r="P2465" s="2"/>
    </row>
    <row r="2466" spans="1:16" x14ac:dyDescent="0.25">
      <c r="A2466" s="2"/>
      <c r="B2466" s="2"/>
      <c r="F2466" s="1"/>
      <c r="G2466" s="1"/>
      <c r="I2466" s="1"/>
      <c r="J2466" s="1"/>
      <c r="L2466" s="1"/>
      <c r="M2466" s="1"/>
      <c r="O2466" s="2"/>
      <c r="P2466" s="2"/>
    </row>
    <row r="2467" spans="1:16" x14ac:dyDescent="0.25">
      <c r="A2467" s="2"/>
      <c r="B2467" s="2"/>
      <c r="F2467" s="1"/>
      <c r="G2467" s="1"/>
      <c r="I2467" s="1"/>
      <c r="J2467" s="1"/>
      <c r="L2467" s="1"/>
      <c r="M2467" s="1"/>
      <c r="O2467" s="2"/>
      <c r="P2467" s="2"/>
    </row>
    <row r="2468" spans="1:16" x14ac:dyDescent="0.25">
      <c r="A2468" s="2"/>
      <c r="B2468" s="2"/>
      <c r="F2468" s="1"/>
      <c r="G2468" s="1"/>
      <c r="I2468" s="1"/>
      <c r="J2468" s="1"/>
      <c r="L2468" s="1"/>
      <c r="M2468" s="1"/>
      <c r="O2468" s="2"/>
      <c r="P2468" s="2"/>
    </row>
    <row r="2469" spans="1:16" x14ac:dyDescent="0.25">
      <c r="A2469" s="2"/>
      <c r="B2469" s="2"/>
      <c r="F2469" s="1"/>
      <c r="G2469" s="1"/>
      <c r="I2469" s="1"/>
      <c r="J2469" s="1"/>
      <c r="L2469" s="1"/>
      <c r="M2469" s="1"/>
      <c r="O2469" s="2"/>
      <c r="P2469" s="2"/>
    </row>
    <row r="2470" spans="1:16" x14ac:dyDescent="0.25">
      <c r="A2470" s="2"/>
      <c r="B2470" s="2"/>
      <c r="F2470" s="1"/>
      <c r="G2470" s="1"/>
      <c r="I2470" s="1"/>
      <c r="J2470" s="1"/>
      <c r="L2470" s="1"/>
      <c r="M2470" s="1"/>
      <c r="O2470" s="2"/>
      <c r="P2470" s="2"/>
    </row>
    <row r="2471" spans="1:16" x14ac:dyDescent="0.25">
      <c r="A2471" s="2"/>
      <c r="B2471" s="2"/>
      <c r="F2471" s="1"/>
      <c r="G2471" s="1"/>
      <c r="I2471" s="1"/>
      <c r="J2471" s="1"/>
      <c r="L2471" s="1"/>
      <c r="M2471" s="1"/>
      <c r="O2471" s="2"/>
      <c r="P2471" s="2"/>
    </row>
    <row r="2472" spans="1:16" x14ac:dyDescent="0.25">
      <c r="A2472" s="2"/>
      <c r="B2472" s="2"/>
      <c r="F2472" s="1"/>
      <c r="G2472" s="1"/>
      <c r="I2472" s="1"/>
      <c r="J2472" s="1"/>
      <c r="L2472" s="1"/>
      <c r="M2472" s="1"/>
      <c r="O2472" s="2"/>
      <c r="P2472" s="2"/>
    </row>
    <row r="2473" spans="1:16" x14ac:dyDescent="0.25">
      <c r="A2473" s="2"/>
      <c r="B2473" s="2"/>
      <c r="F2473" s="1"/>
      <c r="G2473" s="1"/>
      <c r="I2473" s="1"/>
      <c r="J2473" s="1"/>
      <c r="L2473" s="1"/>
      <c r="M2473" s="1"/>
      <c r="O2473" s="2"/>
      <c r="P2473" s="2"/>
    </row>
    <row r="2474" spans="1:16" x14ac:dyDescent="0.25">
      <c r="A2474" s="2"/>
      <c r="B2474" s="2"/>
      <c r="F2474" s="1"/>
      <c r="G2474" s="1"/>
      <c r="I2474" s="1"/>
      <c r="J2474" s="1"/>
      <c r="L2474" s="1"/>
      <c r="M2474" s="1"/>
      <c r="O2474" s="2"/>
      <c r="P2474" s="2"/>
    </row>
    <row r="2475" spans="1:16" x14ac:dyDescent="0.25">
      <c r="A2475" s="2"/>
      <c r="B2475" s="2"/>
      <c r="F2475" s="1"/>
      <c r="G2475" s="1"/>
      <c r="I2475" s="1"/>
      <c r="J2475" s="1"/>
      <c r="L2475" s="1"/>
      <c r="M2475" s="1"/>
      <c r="O2475" s="2"/>
      <c r="P2475" s="2"/>
    </row>
    <row r="2476" spans="1:16" x14ac:dyDescent="0.25">
      <c r="A2476" s="2"/>
      <c r="B2476" s="2"/>
      <c r="F2476" s="1"/>
      <c r="G2476" s="1"/>
      <c r="I2476" s="1"/>
      <c r="J2476" s="1"/>
      <c r="L2476" s="1"/>
      <c r="M2476" s="1"/>
      <c r="O2476" s="2"/>
      <c r="P2476" s="2"/>
    </row>
    <row r="2477" spans="1:16" x14ac:dyDescent="0.25">
      <c r="A2477" s="2"/>
      <c r="B2477" s="2"/>
      <c r="F2477" s="1"/>
      <c r="G2477" s="1"/>
      <c r="I2477" s="1"/>
      <c r="J2477" s="1"/>
      <c r="L2477" s="1"/>
      <c r="M2477" s="1"/>
      <c r="O2477" s="2"/>
      <c r="P2477" s="2"/>
    </row>
    <row r="2478" spans="1:16" x14ac:dyDescent="0.25">
      <c r="A2478" s="2"/>
      <c r="B2478" s="2"/>
      <c r="F2478" s="1"/>
      <c r="G2478" s="1"/>
      <c r="I2478" s="1"/>
      <c r="J2478" s="1"/>
      <c r="L2478" s="1"/>
      <c r="M2478" s="1"/>
      <c r="O2478" s="2"/>
      <c r="P2478" s="2"/>
    </row>
    <row r="2479" spans="1:16" x14ac:dyDescent="0.25">
      <c r="A2479" s="2"/>
      <c r="B2479" s="2"/>
      <c r="F2479" s="1"/>
      <c r="G2479" s="1"/>
      <c r="I2479" s="1"/>
      <c r="J2479" s="1"/>
      <c r="L2479" s="1"/>
      <c r="M2479" s="1"/>
      <c r="O2479" s="2"/>
      <c r="P2479" s="2"/>
    </row>
    <row r="2480" spans="1:16" x14ac:dyDescent="0.25">
      <c r="A2480" s="2"/>
      <c r="B2480" s="2"/>
      <c r="F2480" s="1"/>
      <c r="G2480" s="1"/>
      <c r="I2480" s="1"/>
      <c r="J2480" s="1"/>
      <c r="L2480" s="1"/>
      <c r="M2480" s="1"/>
      <c r="O2480" s="2"/>
      <c r="P2480" s="2"/>
    </row>
    <row r="2481" spans="1:16" x14ac:dyDescent="0.25">
      <c r="A2481" s="2"/>
      <c r="B2481" s="2"/>
      <c r="F2481" s="1"/>
      <c r="G2481" s="1"/>
      <c r="I2481" s="1"/>
      <c r="J2481" s="1"/>
      <c r="L2481" s="1"/>
      <c r="M2481" s="1"/>
      <c r="O2481" s="2"/>
      <c r="P2481" s="2"/>
    </row>
    <row r="2482" spans="1:16" x14ac:dyDescent="0.25">
      <c r="A2482" s="2"/>
      <c r="B2482" s="2"/>
      <c r="F2482" s="1"/>
      <c r="G2482" s="1"/>
      <c r="I2482" s="1"/>
      <c r="J2482" s="1"/>
      <c r="L2482" s="1"/>
      <c r="M2482" s="1"/>
      <c r="O2482" s="2"/>
      <c r="P2482" s="2"/>
    </row>
    <row r="2483" spans="1:16" x14ac:dyDescent="0.25">
      <c r="A2483" s="2"/>
      <c r="B2483" s="2"/>
      <c r="F2483" s="1"/>
      <c r="G2483" s="1"/>
      <c r="I2483" s="1"/>
      <c r="J2483" s="1"/>
      <c r="L2483" s="1"/>
      <c r="M2483" s="1"/>
      <c r="O2483" s="2"/>
      <c r="P2483" s="2"/>
    </row>
    <row r="2484" spans="1:16" x14ac:dyDescent="0.25">
      <c r="A2484" s="2"/>
      <c r="B2484" s="2"/>
      <c r="F2484" s="1"/>
      <c r="G2484" s="1"/>
      <c r="I2484" s="1"/>
      <c r="J2484" s="1"/>
      <c r="L2484" s="1"/>
      <c r="M2484" s="1"/>
      <c r="O2484" s="2"/>
      <c r="P2484" s="2"/>
    </row>
    <row r="2485" spans="1:16" x14ac:dyDescent="0.25">
      <c r="A2485" s="2"/>
      <c r="B2485" s="2"/>
      <c r="F2485" s="1"/>
      <c r="G2485" s="1"/>
      <c r="I2485" s="1"/>
      <c r="J2485" s="1"/>
      <c r="L2485" s="1"/>
      <c r="M2485" s="1"/>
      <c r="O2485" s="2"/>
      <c r="P2485" s="2"/>
    </row>
    <row r="2486" spans="1:16" x14ac:dyDescent="0.25">
      <c r="A2486" s="2"/>
      <c r="B2486" s="2"/>
      <c r="F2486" s="1"/>
      <c r="G2486" s="1"/>
      <c r="I2486" s="1"/>
      <c r="J2486" s="1"/>
      <c r="L2486" s="1"/>
      <c r="M2486" s="1"/>
      <c r="O2486" s="2"/>
      <c r="P2486" s="2"/>
    </row>
    <row r="2487" spans="1:16" x14ac:dyDescent="0.25">
      <c r="A2487" s="2"/>
      <c r="B2487" s="2"/>
      <c r="F2487" s="1"/>
      <c r="G2487" s="1"/>
      <c r="I2487" s="1"/>
      <c r="J2487" s="1"/>
      <c r="L2487" s="1"/>
      <c r="M2487" s="1"/>
      <c r="O2487" s="2"/>
      <c r="P2487" s="2"/>
    </row>
    <row r="2488" spans="1:16" x14ac:dyDescent="0.25">
      <c r="A2488" s="2"/>
      <c r="B2488" s="2"/>
      <c r="F2488" s="1"/>
      <c r="G2488" s="1"/>
      <c r="I2488" s="1"/>
      <c r="J2488" s="1"/>
      <c r="L2488" s="1"/>
      <c r="M2488" s="1"/>
      <c r="O2488" s="2"/>
      <c r="P2488" s="2"/>
    </row>
    <row r="2489" spans="1:16" x14ac:dyDescent="0.25">
      <c r="A2489" s="2"/>
      <c r="B2489" s="2"/>
      <c r="F2489" s="1"/>
      <c r="G2489" s="1"/>
      <c r="I2489" s="1"/>
      <c r="J2489" s="1"/>
      <c r="L2489" s="1"/>
      <c r="M2489" s="1"/>
      <c r="O2489" s="2"/>
      <c r="P2489" s="2"/>
    </row>
    <row r="2490" spans="1:16" x14ac:dyDescent="0.25">
      <c r="A2490" s="2"/>
      <c r="B2490" s="2"/>
      <c r="F2490" s="1"/>
      <c r="G2490" s="1"/>
      <c r="I2490" s="1"/>
      <c r="J2490" s="1"/>
      <c r="L2490" s="1"/>
      <c r="M2490" s="1"/>
      <c r="O2490" s="2"/>
      <c r="P2490" s="2"/>
    </row>
    <row r="2491" spans="1:16" x14ac:dyDescent="0.25">
      <c r="A2491" s="2"/>
      <c r="B2491" s="2"/>
      <c r="F2491" s="1"/>
      <c r="G2491" s="1"/>
      <c r="I2491" s="1"/>
      <c r="J2491" s="1"/>
      <c r="L2491" s="1"/>
      <c r="M2491" s="1"/>
      <c r="O2491" s="2"/>
      <c r="P2491" s="2"/>
    </row>
    <row r="2492" spans="1:16" x14ac:dyDescent="0.25">
      <c r="A2492" s="2"/>
      <c r="B2492" s="2"/>
      <c r="F2492" s="1"/>
      <c r="G2492" s="1"/>
      <c r="I2492" s="1"/>
      <c r="J2492" s="1"/>
      <c r="L2492" s="1"/>
      <c r="M2492" s="1"/>
      <c r="O2492" s="2"/>
      <c r="P2492" s="2"/>
    </row>
    <row r="2493" spans="1:16" x14ac:dyDescent="0.25">
      <c r="A2493" s="2"/>
      <c r="B2493" s="2"/>
      <c r="F2493" s="1"/>
      <c r="G2493" s="1"/>
      <c r="I2493" s="1"/>
      <c r="J2493" s="1"/>
      <c r="L2493" s="1"/>
      <c r="M2493" s="1"/>
      <c r="O2493" s="2"/>
      <c r="P2493" s="2"/>
    </row>
    <row r="2494" spans="1:16" x14ac:dyDescent="0.25">
      <c r="A2494" s="2"/>
      <c r="B2494" s="2"/>
      <c r="F2494" s="1"/>
      <c r="G2494" s="1"/>
      <c r="I2494" s="1"/>
      <c r="J2494" s="1"/>
      <c r="L2494" s="1"/>
      <c r="M2494" s="1"/>
      <c r="O2494" s="2"/>
      <c r="P2494" s="2"/>
    </row>
    <row r="2495" spans="1:16" x14ac:dyDescent="0.25">
      <c r="A2495" s="2"/>
      <c r="B2495" s="2"/>
      <c r="F2495" s="1"/>
      <c r="G2495" s="1"/>
      <c r="I2495" s="1"/>
      <c r="J2495" s="1"/>
      <c r="L2495" s="1"/>
      <c r="M2495" s="1"/>
      <c r="O2495" s="2"/>
      <c r="P2495" s="2"/>
    </row>
    <row r="2496" spans="1:16" x14ac:dyDescent="0.25">
      <c r="A2496" s="2"/>
      <c r="B2496" s="2"/>
      <c r="F2496" s="1"/>
      <c r="G2496" s="1"/>
      <c r="I2496" s="1"/>
      <c r="J2496" s="1"/>
      <c r="L2496" s="1"/>
      <c r="M2496" s="1"/>
      <c r="O2496" s="2"/>
      <c r="P2496" s="2"/>
    </row>
    <row r="2497" spans="1:16" x14ac:dyDescent="0.25">
      <c r="A2497" s="2"/>
      <c r="B2497" s="2"/>
      <c r="F2497" s="1"/>
      <c r="G2497" s="1"/>
      <c r="I2497" s="1"/>
      <c r="J2497" s="1"/>
      <c r="L2497" s="1"/>
      <c r="M2497" s="1"/>
      <c r="O2497" s="2"/>
      <c r="P2497" s="2"/>
    </row>
    <row r="2498" spans="1:16" x14ac:dyDescent="0.25">
      <c r="A2498" s="2"/>
      <c r="B2498" s="2"/>
      <c r="F2498" s="1"/>
      <c r="G2498" s="1"/>
      <c r="I2498" s="1"/>
      <c r="J2498" s="1"/>
      <c r="L2498" s="1"/>
      <c r="M2498" s="1"/>
      <c r="O2498" s="2"/>
      <c r="P2498" s="2"/>
    </row>
    <row r="2499" spans="1:16" x14ac:dyDescent="0.25">
      <c r="A2499" s="2"/>
      <c r="B2499" s="2"/>
      <c r="F2499" s="1"/>
      <c r="G2499" s="1"/>
      <c r="I2499" s="1"/>
      <c r="J2499" s="1"/>
      <c r="L2499" s="1"/>
      <c r="M2499" s="1"/>
      <c r="O2499" s="2"/>
      <c r="P2499" s="2"/>
    </row>
    <row r="2500" spans="1:16" x14ac:dyDescent="0.25">
      <c r="A2500" s="2"/>
      <c r="B2500" s="2"/>
      <c r="F2500" s="1"/>
      <c r="G2500" s="1"/>
      <c r="I2500" s="1"/>
      <c r="J2500" s="1"/>
      <c r="L2500" s="1"/>
      <c r="M2500" s="1"/>
      <c r="O2500" s="2"/>
      <c r="P2500" s="2"/>
    </row>
    <row r="2501" spans="1:16" x14ac:dyDescent="0.25">
      <c r="A2501" s="2"/>
      <c r="B2501" s="2"/>
      <c r="F2501" s="1"/>
      <c r="G2501" s="1"/>
      <c r="I2501" s="1"/>
      <c r="J2501" s="1"/>
      <c r="L2501" s="1"/>
      <c r="M2501" s="1"/>
      <c r="O2501" s="2"/>
      <c r="P2501" s="2"/>
    </row>
    <row r="2502" spans="1:16" x14ac:dyDescent="0.25">
      <c r="A2502" s="2"/>
      <c r="B2502" s="2"/>
      <c r="F2502" s="1"/>
      <c r="G2502" s="1"/>
      <c r="I2502" s="1"/>
      <c r="J2502" s="1"/>
      <c r="L2502" s="1"/>
      <c r="M2502" s="1"/>
      <c r="O2502" s="2"/>
      <c r="P2502" s="2"/>
    </row>
    <row r="2503" spans="1:16" x14ac:dyDescent="0.25">
      <c r="A2503" s="2"/>
      <c r="B2503" s="2"/>
      <c r="F2503" s="1"/>
      <c r="G2503" s="1"/>
      <c r="I2503" s="1"/>
      <c r="J2503" s="1"/>
      <c r="L2503" s="1"/>
      <c r="M2503" s="1"/>
      <c r="O2503" s="2"/>
      <c r="P2503" s="2"/>
    </row>
    <row r="2504" spans="1:16" x14ac:dyDescent="0.25">
      <c r="A2504" s="2"/>
      <c r="B2504" s="2"/>
      <c r="F2504" s="1"/>
      <c r="G2504" s="1"/>
      <c r="I2504" s="1"/>
      <c r="J2504" s="1"/>
      <c r="L2504" s="1"/>
      <c r="M2504" s="1"/>
      <c r="O2504" s="2"/>
      <c r="P2504" s="2"/>
    </row>
    <row r="2505" spans="1:16" x14ac:dyDescent="0.25">
      <c r="A2505" s="2"/>
      <c r="B2505" s="2"/>
      <c r="F2505" s="1"/>
      <c r="G2505" s="1"/>
      <c r="I2505" s="1"/>
      <c r="J2505" s="1"/>
      <c r="L2505" s="1"/>
      <c r="M2505" s="1"/>
      <c r="O2505" s="2"/>
      <c r="P2505" s="2"/>
    </row>
    <row r="2506" spans="1:16" x14ac:dyDescent="0.25">
      <c r="A2506" s="2"/>
      <c r="B2506" s="2"/>
      <c r="F2506" s="1"/>
      <c r="G2506" s="1"/>
      <c r="I2506" s="1"/>
      <c r="J2506" s="1"/>
      <c r="L2506" s="1"/>
      <c r="M2506" s="1"/>
      <c r="O2506" s="2"/>
      <c r="P2506" s="2"/>
    </row>
    <row r="2507" spans="1:16" x14ac:dyDescent="0.25">
      <c r="A2507" s="2"/>
      <c r="B2507" s="2"/>
      <c r="F2507" s="1"/>
      <c r="G2507" s="1"/>
      <c r="I2507" s="1"/>
      <c r="J2507" s="1"/>
      <c r="L2507" s="1"/>
      <c r="M2507" s="1"/>
      <c r="O2507" s="2"/>
      <c r="P2507" s="2"/>
    </row>
    <row r="2508" spans="1:16" x14ac:dyDescent="0.25">
      <c r="A2508" s="2"/>
      <c r="B2508" s="2"/>
      <c r="F2508" s="1"/>
      <c r="G2508" s="1"/>
      <c r="I2508" s="1"/>
      <c r="J2508" s="1"/>
      <c r="L2508" s="1"/>
      <c r="M2508" s="1"/>
      <c r="O2508" s="2"/>
      <c r="P2508" s="2"/>
    </row>
    <row r="2509" spans="1:16" x14ac:dyDescent="0.25">
      <c r="A2509" s="2"/>
      <c r="B2509" s="2"/>
      <c r="F2509" s="1"/>
      <c r="G2509" s="1"/>
      <c r="I2509" s="1"/>
      <c r="J2509" s="1"/>
      <c r="L2509" s="1"/>
      <c r="M2509" s="1"/>
      <c r="O2509" s="2"/>
      <c r="P2509" s="2"/>
    </row>
    <row r="2510" spans="1:16" x14ac:dyDescent="0.25">
      <c r="A2510" s="2"/>
      <c r="B2510" s="2"/>
      <c r="F2510" s="1"/>
      <c r="G2510" s="1"/>
      <c r="I2510" s="1"/>
      <c r="J2510" s="1"/>
      <c r="L2510" s="1"/>
      <c r="M2510" s="1"/>
      <c r="O2510" s="2"/>
      <c r="P2510" s="2"/>
    </row>
    <row r="2511" spans="1:16" x14ac:dyDescent="0.25">
      <c r="A2511" s="2"/>
      <c r="B2511" s="2"/>
      <c r="F2511" s="1"/>
      <c r="G2511" s="1"/>
      <c r="I2511" s="1"/>
      <c r="J2511" s="1"/>
      <c r="L2511" s="1"/>
      <c r="M2511" s="1"/>
      <c r="O2511" s="2"/>
      <c r="P2511" s="2"/>
    </row>
    <row r="2512" spans="1:16" x14ac:dyDescent="0.25">
      <c r="A2512" s="2"/>
      <c r="B2512" s="2"/>
      <c r="F2512" s="1"/>
      <c r="G2512" s="1"/>
      <c r="I2512" s="1"/>
      <c r="J2512" s="1"/>
      <c r="L2512" s="1"/>
      <c r="M2512" s="1"/>
      <c r="O2512" s="2"/>
      <c r="P2512" s="2"/>
    </row>
    <row r="2513" spans="1:16" x14ac:dyDescent="0.25">
      <c r="A2513" s="2"/>
      <c r="B2513" s="2"/>
      <c r="F2513" s="1"/>
      <c r="G2513" s="1"/>
      <c r="I2513" s="1"/>
      <c r="J2513" s="1"/>
      <c r="L2513" s="1"/>
      <c r="M2513" s="1"/>
      <c r="O2513" s="2"/>
      <c r="P2513" s="2"/>
    </row>
    <row r="2514" spans="1:16" x14ac:dyDescent="0.25">
      <c r="A2514" s="2"/>
      <c r="B2514" s="2"/>
      <c r="F2514" s="1"/>
      <c r="G2514" s="1"/>
      <c r="I2514" s="1"/>
      <c r="J2514" s="1"/>
      <c r="L2514" s="1"/>
      <c r="M2514" s="1"/>
      <c r="O2514" s="2"/>
      <c r="P2514" s="2"/>
    </row>
    <row r="2515" spans="1:16" x14ac:dyDescent="0.25">
      <c r="A2515" s="2"/>
      <c r="B2515" s="2"/>
      <c r="F2515" s="1"/>
      <c r="G2515" s="1"/>
      <c r="I2515" s="1"/>
      <c r="J2515" s="1"/>
      <c r="L2515" s="1"/>
      <c r="M2515" s="1"/>
      <c r="O2515" s="2"/>
      <c r="P2515" s="2"/>
    </row>
    <row r="2516" spans="1:16" x14ac:dyDescent="0.25">
      <c r="A2516" s="2"/>
      <c r="B2516" s="2"/>
      <c r="F2516" s="1"/>
      <c r="G2516" s="1"/>
      <c r="I2516" s="1"/>
      <c r="J2516" s="1"/>
      <c r="L2516" s="1"/>
      <c r="M2516" s="1"/>
      <c r="O2516" s="2"/>
      <c r="P2516" s="2"/>
    </row>
    <row r="2517" spans="1:16" x14ac:dyDescent="0.25">
      <c r="A2517" s="2"/>
      <c r="B2517" s="2"/>
      <c r="F2517" s="1"/>
      <c r="G2517" s="1"/>
      <c r="I2517" s="1"/>
      <c r="J2517" s="1"/>
      <c r="L2517" s="1"/>
      <c r="M2517" s="1"/>
      <c r="O2517" s="2"/>
      <c r="P2517" s="2"/>
    </row>
    <row r="2518" spans="1:16" x14ac:dyDescent="0.25">
      <c r="A2518" s="2"/>
      <c r="B2518" s="2"/>
      <c r="F2518" s="1"/>
      <c r="G2518" s="1"/>
      <c r="I2518" s="1"/>
      <c r="J2518" s="1"/>
      <c r="L2518" s="1"/>
      <c r="M2518" s="1"/>
      <c r="O2518" s="2"/>
      <c r="P2518" s="2"/>
    </row>
    <row r="2519" spans="1:16" x14ac:dyDescent="0.25">
      <c r="A2519" s="2"/>
      <c r="B2519" s="2"/>
      <c r="F2519" s="1"/>
      <c r="G2519" s="1"/>
      <c r="I2519" s="1"/>
      <c r="J2519" s="1"/>
      <c r="L2519" s="1"/>
      <c r="M2519" s="1"/>
      <c r="O2519" s="2"/>
      <c r="P2519" s="2"/>
    </row>
    <row r="2520" spans="1:16" x14ac:dyDescent="0.25">
      <c r="A2520" s="2"/>
      <c r="B2520" s="2"/>
      <c r="F2520" s="1"/>
      <c r="G2520" s="1"/>
      <c r="I2520" s="1"/>
      <c r="J2520" s="1"/>
      <c r="L2520" s="1"/>
      <c r="M2520" s="1"/>
      <c r="O2520" s="2"/>
      <c r="P2520" s="2"/>
    </row>
    <row r="2521" spans="1:16" x14ac:dyDescent="0.25">
      <c r="A2521" s="2"/>
      <c r="B2521" s="2"/>
      <c r="F2521" s="1"/>
      <c r="G2521" s="1"/>
      <c r="I2521" s="1"/>
      <c r="J2521" s="1"/>
      <c r="L2521" s="1"/>
      <c r="M2521" s="1"/>
      <c r="O2521" s="2"/>
      <c r="P2521" s="2"/>
    </row>
    <row r="2522" spans="1:16" x14ac:dyDescent="0.25">
      <c r="A2522" s="2"/>
      <c r="B2522" s="2"/>
      <c r="F2522" s="1"/>
      <c r="G2522" s="1"/>
      <c r="I2522" s="1"/>
      <c r="J2522" s="1"/>
      <c r="L2522" s="1"/>
      <c r="M2522" s="1"/>
      <c r="O2522" s="2"/>
      <c r="P2522" s="2"/>
    </row>
    <row r="2523" spans="1:16" x14ac:dyDescent="0.25">
      <c r="A2523" s="2"/>
      <c r="B2523" s="2"/>
      <c r="F2523" s="1"/>
      <c r="G2523" s="1"/>
      <c r="I2523" s="1"/>
      <c r="J2523" s="1"/>
      <c r="L2523" s="1"/>
      <c r="M2523" s="1"/>
      <c r="O2523" s="2"/>
      <c r="P2523" s="2"/>
    </row>
    <row r="2524" spans="1:16" x14ac:dyDescent="0.25">
      <c r="A2524" s="2"/>
      <c r="B2524" s="2"/>
      <c r="F2524" s="1"/>
      <c r="G2524" s="1"/>
      <c r="I2524" s="1"/>
      <c r="J2524" s="1"/>
      <c r="L2524" s="1"/>
      <c r="M2524" s="1"/>
      <c r="O2524" s="2"/>
      <c r="P2524" s="2"/>
    </row>
    <row r="2525" spans="1:16" x14ac:dyDescent="0.25">
      <c r="A2525" s="2"/>
      <c r="B2525" s="2"/>
      <c r="F2525" s="1"/>
      <c r="G2525" s="1"/>
      <c r="I2525" s="1"/>
      <c r="J2525" s="1"/>
      <c r="L2525" s="1"/>
      <c r="M2525" s="1"/>
      <c r="O2525" s="2"/>
      <c r="P2525" s="2"/>
    </row>
    <row r="2526" spans="1:16" x14ac:dyDescent="0.25">
      <c r="A2526" s="2"/>
      <c r="B2526" s="2"/>
      <c r="F2526" s="1"/>
      <c r="G2526" s="1"/>
      <c r="I2526" s="1"/>
      <c r="J2526" s="1"/>
      <c r="L2526" s="1"/>
      <c r="M2526" s="1"/>
      <c r="O2526" s="2"/>
      <c r="P2526" s="2"/>
    </row>
    <row r="2527" spans="1:16" x14ac:dyDescent="0.25">
      <c r="A2527" s="2"/>
      <c r="B2527" s="2"/>
      <c r="F2527" s="1"/>
      <c r="G2527" s="1"/>
      <c r="I2527" s="1"/>
      <c r="J2527" s="1"/>
      <c r="L2527" s="1"/>
      <c r="M2527" s="1"/>
      <c r="O2527" s="2"/>
      <c r="P2527" s="2"/>
    </row>
    <row r="2528" spans="1:16" x14ac:dyDescent="0.25">
      <c r="A2528" s="2"/>
      <c r="B2528" s="2"/>
      <c r="F2528" s="1"/>
      <c r="G2528" s="1"/>
      <c r="I2528" s="1"/>
      <c r="J2528" s="1"/>
      <c r="L2528" s="1"/>
      <c r="M2528" s="1"/>
      <c r="O2528" s="2"/>
      <c r="P2528" s="2"/>
    </row>
    <row r="2529" spans="1:16" x14ac:dyDescent="0.25">
      <c r="A2529" s="2"/>
      <c r="B2529" s="2"/>
      <c r="F2529" s="1"/>
      <c r="G2529" s="1"/>
      <c r="I2529" s="1"/>
      <c r="J2529" s="1"/>
      <c r="L2529" s="1"/>
      <c r="M2529" s="1"/>
      <c r="O2529" s="2"/>
      <c r="P2529" s="2"/>
    </row>
    <row r="2530" spans="1:16" x14ac:dyDescent="0.25">
      <c r="A2530" s="2"/>
      <c r="B2530" s="2"/>
      <c r="F2530" s="1"/>
      <c r="G2530" s="1"/>
      <c r="I2530" s="1"/>
      <c r="J2530" s="1"/>
      <c r="L2530" s="1"/>
      <c r="M2530" s="1"/>
      <c r="O2530" s="2"/>
      <c r="P2530" s="2"/>
    </row>
    <row r="2531" spans="1:16" x14ac:dyDescent="0.25">
      <c r="A2531" s="2"/>
      <c r="B2531" s="2"/>
      <c r="F2531" s="1"/>
      <c r="G2531" s="1"/>
      <c r="I2531" s="1"/>
      <c r="J2531" s="1"/>
      <c r="L2531" s="1"/>
      <c r="M2531" s="1"/>
      <c r="O2531" s="2"/>
      <c r="P2531" s="2"/>
    </row>
    <row r="2532" spans="1:16" x14ac:dyDescent="0.25">
      <c r="A2532" s="2"/>
      <c r="B2532" s="2"/>
      <c r="F2532" s="1"/>
      <c r="G2532" s="1"/>
      <c r="I2532" s="1"/>
      <c r="J2532" s="1"/>
      <c r="L2532" s="1"/>
      <c r="M2532" s="1"/>
      <c r="O2532" s="2"/>
      <c r="P2532" s="2"/>
    </row>
    <row r="2533" spans="1:16" x14ac:dyDescent="0.25">
      <c r="A2533" s="2"/>
      <c r="B2533" s="2"/>
      <c r="F2533" s="1"/>
      <c r="G2533" s="1"/>
      <c r="I2533" s="1"/>
      <c r="J2533" s="1"/>
      <c r="L2533" s="1"/>
      <c r="M2533" s="1"/>
      <c r="O2533" s="2"/>
      <c r="P2533" s="2"/>
    </row>
    <row r="2534" spans="1:16" x14ac:dyDescent="0.25">
      <c r="A2534" s="2"/>
      <c r="B2534" s="2"/>
      <c r="F2534" s="1"/>
      <c r="G2534" s="1"/>
      <c r="I2534" s="1"/>
      <c r="J2534" s="1"/>
      <c r="L2534" s="1"/>
      <c r="M2534" s="1"/>
      <c r="O2534" s="2"/>
      <c r="P2534" s="2"/>
    </row>
    <row r="2535" spans="1:16" x14ac:dyDescent="0.25">
      <c r="A2535" s="2"/>
      <c r="B2535" s="2"/>
      <c r="F2535" s="1"/>
      <c r="G2535" s="1"/>
      <c r="I2535" s="1"/>
      <c r="J2535" s="1"/>
      <c r="L2535" s="1"/>
      <c r="M2535" s="1"/>
      <c r="O2535" s="2"/>
      <c r="P2535" s="2"/>
    </row>
    <row r="2536" spans="1:16" x14ac:dyDescent="0.25">
      <c r="A2536" s="2"/>
      <c r="B2536" s="2"/>
      <c r="F2536" s="1"/>
      <c r="G2536" s="1"/>
      <c r="I2536" s="1"/>
      <c r="J2536" s="1"/>
      <c r="L2536" s="1"/>
      <c r="M2536" s="1"/>
      <c r="O2536" s="2"/>
      <c r="P2536" s="2"/>
    </row>
    <row r="2537" spans="1:16" x14ac:dyDescent="0.25">
      <c r="A2537" s="2"/>
      <c r="B2537" s="2"/>
      <c r="F2537" s="1"/>
      <c r="G2537" s="1"/>
      <c r="I2537" s="1"/>
      <c r="J2537" s="1"/>
      <c r="L2537" s="1"/>
      <c r="M2537" s="1"/>
      <c r="O2537" s="2"/>
      <c r="P2537" s="2"/>
    </row>
    <row r="2538" spans="1:16" x14ac:dyDescent="0.25">
      <c r="A2538" s="2"/>
      <c r="B2538" s="2"/>
      <c r="F2538" s="1"/>
      <c r="G2538" s="1"/>
      <c r="I2538" s="1"/>
      <c r="J2538" s="1"/>
      <c r="L2538" s="1"/>
      <c r="M2538" s="1"/>
      <c r="O2538" s="2"/>
      <c r="P2538" s="2"/>
    </row>
    <row r="2539" spans="1:16" x14ac:dyDescent="0.25">
      <c r="A2539" s="2"/>
      <c r="B2539" s="2"/>
      <c r="F2539" s="1"/>
      <c r="G2539" s="1"/>
      <c r="I2539" s="1"/>
      <c r="J2539" s="1"/>
      <c r="L2539" s="1"/>
      <c r="M2539" s="1"/>
      <c r="O2539" s="2"/>
      <c r="P2539" s="2"/>
    </row>
    <row r="2540" spans="1:16" x14ac:dyDescent="0.25">
      <c r="A2540" s="2"/>
      <c r="B2540" s="2"/>
      <c r="F2540" s="1"/>
      <c r="G2540" s="1"/>
      <c r="I2540" s="1"/>
      <c r="J2540" s="1"/>
      <c r="L2540" s="1"/>
      <c r="M2540" s="1"/>
      <c r="O2540" s="2"/>
      <c r="P2540" s="2"/>
    </row>
    <row r="2541" spans="1:16" x14ac:dyDescent="0.25">
      <c r="A2541" s="2"/>
      <c r="B2541" s="2"/>
      <c r="F2541" s="1"/>
      <c r="G2541" s="1"/>
      <c r="I2541" s="1"/>
      <c r="J2541" s="1"/>
      <c r="L2541" s="1"/>
      <c r="M2541" s="1"/>
      <c r="O2541" s="2"/>
      <c r="P2541" s="2"/>
    </row>
    <row r="2542" spans="1:16" x14ac:dyDescent="0.25">
      <c r="A2542" s="2"/>
      <c r="B2542" s="2"/>
      <c r="F2542" s="1"/>
      <c r="G2542" s="1"/>
      <c r="I2542" s="1"/>
      <c r="J2542" s="1"/>
      <c r="L2542" s="1"/>
      <c r="M2542" s="1"/>
      <c r="O2542" s="2"/>
      <c r="P2542" s="2"/>
    </row>
    <row r="2543" spans="1:16" x14ac:dyDescent="0.25">
      <c r="A2543" s="2"/>
      <c r="B2543" s="2"/>
      <c r="F2543" s="1"/>
      <c r="G2543" s="1"/>
      <c r="I2543" s="1"/>
      <c r="J2543" s="1"/>
      <c r="L2543" s="1"/>
      <c r="M2543" s="1"/>
      <c r="O2543" s="2"/>
      <c r="P2543" s="2"/>
    </row>
    <row r="2544" spans="1:16" x14ac:dyDescent="0.25">
      <c r="A2544" s="2"/>
      <c r="B2544" s="2"/>
      <c r="F2544" s="1"/>
      <c r="G2544" s="1"/>
      <c r="I2544" s="1"/>
      <c r="J2544" s="1"/>
      <c r="L2544" s="1"/>
      <c r="M2544" s="1"/>
      <c r="O2544" s="2"/>
      <c r="P2544" s="2"/>
    </row>
    <row r="2545" spans="1:16" x14ac:dyDescent="0.25">
      <c r="A2545" s="2"/>
      <c r="B2545" s="2"/>
      <c r="F2545" s="1"/>
      <c r="G2545" s="1"/>
      <c r="I2545" s="1"/>
      <c r="J2545" s="1"/>
      <c r="L2545" s="1"/>
      <c r="M2545" s="1"/>
      <c r="O2545" s="2"/>
      <c r="P2545" s="2"/>
    </row>
    <row r="2546" spans="1:16" x14ac:dyDescent="0.25">
      <c r="A2546" s="2"/>
      <c r="B2546" s="2"/>
      <c r="F2546" s="1"/>
      <c r="G2546" s="1"/>
      <c r="I2546" s="1"/>
      <c r="J2546" s="1"/>
      <c r="L2546" s="1"/>
      <c r="M2546" s="1"/>
      <c r="O2546" s="2"/>
      <c r="P2546" s="2"/>
    </row>
    <row r="2547" spans="1:16" x14ac:dyDescent="0.25">
      <c r="A2547" s="2"/>
      <c r="B2547" s="2"/>
      <c r="F2547" s="1"/>
      <c r="G2547" s="1"/>
      <c r="I2547" s="1"/>
      <c r="J2547" s="1"/>
      <c r="L2547" s="1"/>
      <c r="M2547" s="1"/>
      <c r="O2547" s="2"/>
      <c r="P2547" s="2"/>
    </row>
    <row r="2548" spans="1:16" x14ac:dyDescent="0.25">
      <c r="A2548" s="2"/>
      <c r="B2548" s="2"/>
      <c r="F2548" s="1"/>
      <c r="G2548" s="1"/>
      <c r="I2548" s="1"/>
      <c r="J2548" s="1"/>
      <c r="L2548" s="1"/>
      <c r="M2548" s="1"/>
      <c r="O2548" s="2"/>
      <c r="P2548" s="2"/>
    </row>
    <row r="2549" spans="1:16" x14ac:dyDescent="0.25">
      <c r="A2549" s="2"/>
      <c r="B2549" s="2"/>
      <c r="F2549" s="1"/>
      <c r="G2549" s="1"/>
      <c r="I2549" s="1"/>
      <c r="J2549" s="1"/>
      <c r="L2549" s="1"/>
      <c r="M2549" s="1"/>
      <c r="O2549" s="2"/>
      <c r="P2549" s="2"/>
    </row>
    <row r="2550" spans="1:16" x14ac:dyDescent="0.25">
      <c r="A2550" s="2"/>
      <c r="B2550" s="2"/>
      <c r="F2550" s="1"/>
      <c r="G2550" s="1"/>
      <c r="I2550" s="1"/>
      <c r="J2550" s="1"/>
      <c r="L2550" s="1"/>
      <c r="M2550" s="1"/>
      <c r="O2550" s="2"/>
      <c r="P2550" s="2"/>
    </row>
    <row r="2551" spans="1:16" x14ac:dyDescent="0.25">
      <c r="A2551" s="2"/>
      <c r="B2551" s="2"/>
      <c r="F2551" s="1"/>
      <c r="G2551" s="1"/>
      <c r="I2551" s="1"/>
      <c r="J2551" s="1"/>
      <c r="L2551" s="1"/>
      <c r="M2551" s="1"/>
      <c r="O2551" s="2"/>
      <c r="P2551" s="2"/>
    </row>
    <row r="2552" spans="1:16" x14ac:dyDescent="0.25">
      <c r="A2552" s="2"/>
      <c r="B2552" s="2"/>
      <c r="F2552" s="1"/>
      <c r="G2552" s="1"/>
      <c r="I2552" s="1"/>
      <c r="J2552" s="1"/>
      <c r="L2552" s="1"/>
      <c r="M2552" s="1"/>
      <c r="O2552" s="2"/>
      <c r="P2552" s="2"/>
    </row>
    <row r="2553" spans="1:16" x14ac:dyDescent="0.25">
      <c r="A2553" s="2"/>
      <c r="B2553" s="2"/>
      <c r="F2553" s="1"/>
      <c r="G2553" s="1"/>
      <c r="I2553" s="1"/>
      <c r="J2553" s="1"/>
      <c r="L2553" s="1"/>
      <c r="M2553" s="1"/>
      <c r="O2553" s="2"/>
      <c r="P2553" s="2"/>
    </row>
    <row r="2554" spans="1:16" x14ac:dyDescent="0.25">
      <c r="A2554" s="2"/>
      <c r="B2554" s="2"/>
      <c r="F2554" s="1"/>
      <c r="G2554" s="1"/>
      <c r="I2554" s="1"/>
      <c r="J2554" s="1"/>
      <c r="L2554" s="1"/>
      <c r="M2554" s="1"/>
      <c r="O2554" s="2"/>
      <c r="P2554" s="2"/>
    </row>
    <row r="2555" spans="1:16" x14ac:dyDescent="0.25">
      <c r="A2555" s="2"/>
      <c r="B2555" s="2"/>
      <c r="F2555" s="1"/>
      <c r="G2555" s="1"/>
      <c r="I2555" s="1"/>
      <c r="J2555" s="1"/>
      <c r="L2555" s="1"/>
      <c r="M2555" s="1"/>
      <c r="O2555" s="2"/>
      <c r="P2555" s="2"/>
    </row>
    <row r="2556" spans="1:16" x14ac:dyDescent="0.25">
      <c r="A2556" s="2"/>
      <c r="B2556" s="2"/>
      <c r="F2556" s="1"/>
      <c r="G2556" s="1"/>
      <c r="I2556" s="1"/>
      <c r="J2556" s="1"/>
      <c r="L2556" s="1"/>
      <c r="M2556" s="1"/>
      <c r="O2556" s="2"/>
      <c r="P2556" s="2"/>
    </row>
    <row r="2557" spans="1:16" x14ac:dyDescent="0.25">
      <c r="A2557" s="2"/>
      <c r="B2557" s="2"/>
      <c r="F2557" s="1"/>
      <c r="G2557" s="1"/>
      <c r="I2557" s="1"/>
      <c r="J2557" s="1"/>
      <c r="L2557" s="1"/>
      <c r="M2557" s="1"/>
      <c r="O2557" s="2"/>
      <c r="P2557" s="2"/>
    </row>
    <row r="2558" spans="1:16" x14ac:dyDescent="0.25">
      <c r="A2558" s="2"/>
      <c r="B2558" s="2"/>
      <c r="F2558" s="1"/>
      <c r="G2558" s="1"/>
      <c r="I2558" s="1"/>
      <c r="J2558" s="1"/>
      <c r="L2558" s="1"/>
      <c r="M2558" s="1"/>
      <c r="O2558" s="2"/>
      <c r="P2558" s="2"/>
    </row>
    <row r="2559" spans="1:16" x14ac:dyDescent="0.25">
      <c r="A2559" s="2"/>
      <c r="B2559" s="2"/>
      <c r="F2559" s="1"/>
      <c r="G2559" s="1"/>
      <c r="I2559" s="1"/>
      <c r="J2559" s="1"/>
      <c r="L2559" s="1"/>
      <c r="M2559" s="1"/>
      <c r="O2559" s="2"/>
      <c r="P2559" s="2"/>
    </row>
    <row r="2560" spans="1:16" x14ac:dyDescent="0.25">
      <c r="A2560" s="2"/>
      <c r="B2560" s="2"/>
      <c r="F2560" s="1"/>
      <c r="G2560" s="1"/>
      <c r="I2560" s="1"/>
      <c r="J2560" s="1"/>
      <c r="L2560" s="1"/>
      <c r="M2560" s="1"/>
      <c r="O2560" s="2"/>
      <c r="P2560" s="2"/>
    </row>
    <row r="2561" spans="1:16" x14ac:dyDescent="0.25">
      <c r="A2561" s="2"/>
      <c r="B2561" s="2"/>
      <c r="F2561" s="1"/>
      <c r="G2561" s="1"/>
      <c r="I2561" s="1"/>
      <c r="J2561" s="1"/>
      <c r="L2561" s="1"/>
      <c r="M2561" s="1"/>
      <c r="O2561" s="2"/>
      <c r="P2561" s="2"/>
    </row>
    <row r="2562" spans="1:16" x14ac:dyDescent="0.25">
      <c r="A2562" s="2"/>
      <c r="B2562" s="2"/>
      <c r="F2562" s="1"/>
      <c r="G2562" s="1"/>
      <c r="I2562" s="1"/>
      <c r="J2562" s="1"/>
      <c r="L2562" s="1"/>
      <c r="M2562" s="1"/>
      <c r="O2562" s="2"/>
      <c r="P2562" s="2"/>
    </row>
    <row r="2563" spans="1:16" x14ac:dyDescent="0.25">
      <c r="A2563" s="2"/>
      <c r="B2563" s="2"/>
      <c r="F2563" s="1"/>
      <c r="G2563" s="1"/>
      <c r="I2563" s="1"/>
      <c r="J2563" s="1"/>
      <c r="L2563" s="1"/>
      <c r="M2563" s="1"/>
      <c r="O2563" s="2"/>
      <c r="P2563" s="2"/>
    </row>
    <row r="2564" spans="1:16" x14ac:dyDescent="0.25">
      <c r="A2564" s="2"/>
      <c r="B2564" s="2"/>
      <c r="F2564" s="1"/>
      <c r="G2564" s="1"/>
      <c r="I2564" s="1"/>
      <c r="J2564" s="1"/>
      <c r="L2564" s="1"/>
      <c r="M2564" s="1"/>
      <c r="O2564" s="2"/>
      <c r="P2564" s="2"/>
    </row>
    <row r="2565" spans="1:16" x14ac:dyDescent="0.25">
      <c r="A2565" s="2"/>
      <c r="B2565" s="2"/>
      <c r="F2565" s="1"/>
      <c r="G2565" s="1"/>
      <c r="I2565" s="1"/>
      <c r="J2565" s="1"/>
      <c r="L2565" s="1"/>
      <c r="M2565" s="1"/>
      <c r="O2565" s="2"/>
      <c r="P2565" s="2"/>
    </row>
    <row r="2566" spans="1:16" x14ac:dyDescent="0.25">
      <c r="A2566" s="2"/>
      <c r="B2566" s="2"/>
      <c r="F2566" s="1"/>
      <c r="G2566" s="1"/>
      <c r="I2566" s="1"/>
      <c r="J2566" s="1"/>
      <c r="L2566" s="1"/>
      <c r="M2566" s="1"/>
      <c r="O2566" s="2"/>
      <c r="P2566" s="2"/>
    </row>
    <row r="2567" spans="1:16" x14ac:dyDescent="0.25">
      <c r="A2567" s="2"/>
      <c r="B2567" s="2"/>
      <c r="F2567" s="1"/>
      <c r="G2567" s="1"/>
      <c r="I2567" s="1"/>
      <c r="J2567" s="1"/>
      <c r="L2567" s="1"/>
      <c r="M2567" s="1"/>
      <c r="O2567" s="2"/>
      <c r="P2567" s="2"/>
    </row>
    <row r="2568" spans="1:16" x14ac:dyDescent="0.25">
      <c r="A2568" s="2"/>
      <c r="B2568" s="2"/>
      <c r="F2568" s="1"/>
      <c r="G2568" s="1"/>
      <c r="I2568" s="1"/>
      <c r="J2568" s="1"/>
      <c r="L2568" s="1"/>
      <c r="M2568" s="1"/>
      <c r="O2568" s="2"/>
      <c r="P2568" s="2"/>
    </row>
    <row r="2569" spans="1:16" x14ac:dyDescent="0.25">
      <c r="A2569" s="2"/>
      <c r="B2569" s="2"/>
      <c r="F2569" s="1"/>
      <c r="G2569" s="1"/>
      <c r="I2569" s="1"/>
      <c r="J2569" s="1"/>
      <c r="L2569" s="1"/>
      <c r="M2569" s="1"/>
      <c r="O2569" s="2"/>
      <c r="P2569" s="2"/>
    </row>
    <row r="2570" spans="1:16" x14ac:dyDescent="0.25">
      <c r="A2570" s="2"/>
      <c r="B2570" s="2"/>
      <c r="F2570" s="1"/>
      <c r="G2570" s="1"/>
      <c r="I2570" s="1"/>
      <c r="J2570" s="1"/>
      <c r="L2570" s="1"/>
      <c r="M2570" s="1"/>
      <c r="O2570" s="2"/>
      <c r="P2570" s="2"/>
    </row>
    <row r="2571" spans="1:16" x14ac:dyDescent="0.25">
      <c r="A2571" s="2"/>
      <c r="B2571" s="2"/>
      <c r="F2571" s="1"/>
      <c r="G2571" s="1"/>
      <c r="I2571" s="1"/>
      <c r="J2571" s="1"/>
      <c r="L2571" s="1"/>
      <c r="M2571" s="1"/>
      <c r="O2571" s="2"/>
      <c r="P2571" s="2"/>
    </row>
    <row r="2572" spans="1:16" x14ac:dyDescent="0.25">
      <c r="A2572" s="2"/>
      <c r="B2572" s="2"/>
      <c r="F2572" s="1"/>
      <c r="G2572" s="1"/>
      <c r="I2572" s="1"/>
      <c r="J2572" s="1"/>
      <c r="L2572" s="1"/>
      <c r="M2572" s="1"/>
      <c r="O2572" s="2"/>
      <c r="P2572" s="2"/>
    </row>
    <row r="2573" spans="1:16" x14ac:dyDescent="0.25">
      <c r="A2573" s="2"/>
      <c r="B2573" s="2"/>
      <c r="F2573" s="1"/>
      <c r="G2573" s="1"/>
      <c r="I2573" s="1"/>
      <c r="J2573" s="1"/>
      <c r="L2573" s="1"/>
      <c r="M2573" s="1"/>
      <c r="O2573" s="2"/>
      <c r="P2573" s="2"/>
    </row>
    <row r="2574" spans="1:16" x14ac:dyDescent="0.25">
      <c r="A2574" s="2"/>
      <c r="B2574" s="2"/>
      <c r="F2574" s="1"/>
      <c r="G2574" s="1"/>
      <c r="I2574" s="1"/>
      <c r="J2574" s="1"/>
      <c r="L2574" s="1"/>
      <c r="M2574" s="1"/>
      <c r="O2574" s="2"/>
      <c r="P2574" s="2"/>
    </row>
    <row r="2575" spans="1:16" x14ac:dyDescent="0.25">
      <c r="A2575" s="2"/>
      <c r="B2575" s="2"/>
      <c r="F2575" s="1"/>
      <c r="G2575" s="1"/>
      <c r="I2575" s="1"/>
      <c r="J2575" s="1"/>
      <c r="L2575" s="1"/>
      <c r="M2575" s="1"/>
      <c r="O2575" s="2"/>
      <c r="P2575" s="2"/>
    </row>
    <row r="2576" spans="1:16" x14ac:dyDescent="0.25">
      <c r="A2576" s="2"/>
      <c r="B2576" s="2"/>
      <c r="F2576" s="1"/>
      <c r="G2576" s="1"/>
      <c r="I2576" s="1"/>
      <c r="J2576" s="1"/>
      <c r="L2576" s="1"/>
      <c r="M2576" s="1"/>
      <c r="O2576" s="2"/>
      <c r="P2576" s="2"/>
    </row>
    <row r="2577" spans="1:16" x14ac:dyDescent="0.25">
      <c r="A2577" s="2"/>
      <c r="B2577" s="2"/>
      <c r="F2577" s="1"/>
      <c r="G2577" s="1"/>
      <c r="I2577" s="1"/>
      <c r="J2577" s="1"/>
      <c r="L2577" s="1"/>
      <c r="M2577" s="1"/>
      <c r="O2577" s="2"/>
      <c r="P2577" s="2"/>
    </row>
    <row r="2578" spans="1:16" x14ac:dyDescent="0.25">
      <c r="A2578" s="2"/>
      <c r="B2578" s="2"/>
      <c r="F2578" s="1"/>
      <c r="G2578" s="1"/>
      <c r="I2578" s="1"/>
      <c r="J2578" s="1"/>
      <c r="L2578" s="1"/>
      <c r="M2578" s="1"/>
      <c r="O2578" s="2"/>
      <c r="P2578" s="2"/>
    </row>
    <row r="2579" spans="1:16" x14ac:dyDescent="0.25">
      <c r="A2579" s="2"/>
      <c r="B2579" s="2"/>
      <c r="F2579" s="1"/>
      <c r="G2579" s="1"/>
      <c r="I2579" s="1"/>
      <c r="J2579" s="1"/>
      <c r="L2579" s="1"/>
      <c r="M2579" s="1"/>
      <c r="O2579" s="2"/>
      <c r="P2579" s="2"/>
    </row>
    <row r="2580" spans="1:16" x14ac:dyDescent="0.25">
      <c r="A2580" s="2"/>
      <c r="B2580" s="2"/>
      <c r="F2580" s="1"/>
      <c r="G2580" s="1"/>
      <c r="I2580" s="1"/>
      <c r="J2580" s="1"/>
      <c r="L2580" s="1"/>
      <c r="M2580" s="1"/>
      <c r="O2580" s="2"/>
      <c r="P2580" s="2"/>
    </row>
    <row r="2581" spans="1:16" x14ac:dyDescent="0.25">
      <c r="A2581" s="2"/>
      <c r="B2581" s="2"/>
      <c r="F2581" s="1"/>
      <c r="G2581" s="1"/>
      <c r="I2581" s="1"/>
      <c r="J2581" s="1"/>
      <c r="L2581" s="1"/>
      <c r="M2581" s="1"/>
      <c r="O2581" s="2"/>
      <c r="P2581" s="2"/>
    </row>
    <row r="2582" spans="1:16" x14ac:dyDescent="0.25">
      <c r="A2582" s="2"/>
      <c r="B2582" s="2"/>
      <c r="F2582" s="1"/>
      <c r="G2582" s="1"/>
      <c r="I2582" s="1"/>
      <c r="J2582" s="1"/>
      <c r="L2582" s="1"/>
      <c r="M2582" s="1"/>
      <c r="O2582" s="2"/>
      <c r="P2582" s="2"/>
    </row>
    <row r="2583" spans="1:16" x14ac:dyDescent="0.25">
      <c r="A2583" s="2"/>
      <c r="B2583" s="2"/>
      <c r="F2583" s="1"/>
      <c r="G2583" s="1"/>
      <c r="I2583" s="1"/>
      <c r="J2583" s="1"/>
      <c r="L2583" s="1"/>
      <c r="M2583" s="1"/>
      <c r="O2583" s="2"/>
      <c r="P2583" s="2"/>
    </row>
    <row r="2584" spans="1:16" x14ac:dyDescent="0.25">
      <c r="A2584" s="2"/>
      <c r="B2584" s="2"/>
      <c r="F2584" s="1"/>
      <c r="G2584" s="1"/>
      <c r="I2584" s="1"/>
      <c r="J2584" s="1"/>
      <c r="L2584" s="1"/>
      <c r="M2584" s="1"/>
      <c r="O2584" s="2"/>
      <c r="P2584" s="2"/>
    </row>
    <row r="2585" spans="1:16" x14ac:dyDescent="0.25">
      <c r="A2585" s="2"/>
      <c r="B2585" s="2"/>
      <c r="F2585" s="1"/>
      <c r="G2585" s="1"/>
      <c r="I2585" s="1"/>
      <c r="J2585" s="1"/>
      <c r="L2585" s="1"/>
      <c r="M2585" s="1"/>
      <c r="O2585" s="2"/>
      <c r="P2585" s="2"/>
    </row>
    <row r="2586" spans="1:16" x14ac:dyDescent="0.25">
      <c r="A2586" s="2"/>
      <c r="B2586" s="2"/>
      <c r="F2586" s="1"/>
      <c r="G2586" s="1"/>
      <c r="I2586" s="1"/>
      <c r="J2586" s="1"/>
      <c r="L2586" s="1"/>
      <c r="M2586" s="1"/>
      <c r="O2586" s="2"/>
      <c r="P2586" s="2"/>
    </row>
    <row r="2587" spans="1:16" x14ac:dyDescent="0.25">
      <c r="A2587" s="2"/>
      <c r="B2587" s="2"/>
      <c r="F2587" s="1"/>
      <c r="G2587" s="1"/>
      <c r="I2587" s="1"/>
      <c r="J2587" s="1"/>
      <c r="L2587" s="1"/>
      <c r="M2587" s="1"/>
      <c r="O2587" s="2"/>
      <c r="P2587" s="2"/>
    </row>
    <row r="2588" spans="1:16" x14ac:dyDescent="0.25">
      <c r="A2588" s="2"/>
      <c r="B2588" s="2"/>
      <c r="F2588" s="1"/>
      <c r="G2588" s="1"/>
      <c r="I2588" s="1"/>
      <c r="J2588" s="1"/>
      <c r="L2588" s="1"/>
      <c r="M2588" s="1"/>
      <c r="O2588" s="2"/>
      <c r="P2588" s="2"/>
    </row>
    <row r="2589" spans="1:16" x14ac:dyDescent="0.25">
      <c r="A2589" s="2"/>
      <c r="B2589" s="2"/>
      <c r="F2589" s="1"/>
      <c r="G2589" s="1"/>
      <c r="I2589" s="1"/>
      <c r="J2589" s="1"/>
      <c r="L2589" s="1"/>
      <c r="M2589" s="1"/>
      <c r="O2589" s="2"/>
      <c r="P2589" s="2"/>
    </row>
    <row r="2590" spans="1:16" x14ac:dyDescent="0.25">
      <c r="A2590" s="2"/>
      <c r="B2590" s="2"/>
      <c r="F2590" s="1"/>
      <c r="G2590" s="1"/>
      <c r="I2590" s="1"/>
      <c r="J2590" s="1"/>
      <c r="L2590" s="1"/>
      <c r="M2590" s="1"/>
      <c r="O2590" s="2"/>
      <c r="P2590" s="2"/>
    </row>
    <row r="2591" spans="1:16" x14ac:dyDescent="0.25">
      <c r="A2591" s="2"/>
      <c r="B2591" s="2"/>
      <c r="F2591" s="1"/>
      <c r="G2591" s="1"/>
      <c r="I2591" s="1"/>
      <c r="J2591" s="1"/>
      <c r="L2591" s="1"/>
      <c r="M2591" s="1"/>
      <c r="O2591" s="2"/>
      <c r="P2591" s="2"/>
    </row>
    <row r="2592" spans="1:16" x14ac:dyDescent="0.25">
      <c r="A2592" s="2"/>
      <c r="B2592" s="2"/>
      <c r="F2592" s="1"/>
      <c r="G2592" s="1"/>
      <c r="I2592" s="1"/>
      <c r="J2592" s="1"/>
      <c r="L2592" s="1"/>
      <c r="M2592" s="1"/>
      <c r="O2592" s="2"/>
      <c r="P2592" s="2"/>
    </row>
    <row r="2593" spans="1:16" x14ac:dyDescent="0.25">
      <c r="A2593" s="2"/>
      <c r="B2593" s="2"/>
      <c r="F2593" s="1"/>
      <c r="G2593" s="1"/>
      <c r="I2593" s="1"/>
      <c r="J2593" s="1"/>
      <c r="L2593" s="1"/>
      <c r="M2593" s="1"/>
      <c r="O2593" s="2"/>
      <c r="P2593" s="2"/>
    </row>
    <row r="2594" spans="1:16" x14ac:dyDescent="0.25">
      <c r="A2594" s="2"/>
      <c r="B2594" s="2"/>
      <c r="F2594" s="1"/>
      <c r="G2594" s="1"/>
      <c r="I2594" s="1"/>
      <c r="J2594" s="1"/>
      <c r="L2594" s="1"/>
      <c r="M2594" s="1"/>
      <c r="O2594" s="2"/>
      <c r="P2594" s="2"/>
    </row>
    <row r="2595" spans="1:16" x14ac:dyDescent="0.25">
      <c r="A2595" s="2"/>
      <c r="B2595" s="2"/>
      <c r="F2595" s="1"/>
      <c r="G2595" s="1"/>
      <c r="I2595" s="1"/>
      <c r="J2595" s="1"/>
      <c r="L2595" s="1"/>
      <c r="M2595" s="1"/>
      <c r="O2595" s="2"/>
      <c r="P2595" s="2"/>
    </row>
    <row r="2596" spans="1:16" x14ac:dyDescent="0.25">
      <c r="A2596" s="2"/>
      <c r="B2596" s="2"/>
      <c r="F2596" s="1"/>
      <c r="G2596" s="1"/>
      <c r="I2596" s="1"/>
      <c r="J2596" s="1"/>
      <c r="L2596" s="1"/>
      <c r="M2596" s="1"/>
      <c r="O2596" s="2"/>
      <c r="P2596" s="2"/>
    </row>
    <row r="2597" spans="1:16" x14ac:dyDescent="0.25">
      <c r="A2597" s="2"/>
      <c r="B2597" s="2"/>
      <c r="F2597" s="1"/>
      <c r="G2597" s="1"/>
      <c r="I2597" s="1"/>
      <c r="J2597" s="1"/>
      <c r="L2597" s="1"/>
      <c r="M2597" s="1"/>
      <c r="O2597" s="2"/>
      <c r="P2597" s="2"/>
    </row>
    <row r="2598" spans="1:16" x14ac:dyDescent="0.25">
      <c r="A2598" s="2"/>
      <c r="B2598" s="2"/>
      <c r="F2598" s="1"/>
      <c r="G2598" s="1"/>
      <c r="I2598" s="1"/>
      <c r="J2598" s="1"/>
      <c r="L2598" s="1"/>
      <c r="M2598" s="1"/>
      <c r="O2598" s="2"/>
      <c r="P2598" s="2"/>
    </row>
    <row r="2599" spans="1:16" x14ac:dyDescent="0.25">
      <c r="A2599" s="2"/>
      <c r="B2599" s="2"/>
      <c r="F2599" s="1"/>
      <c r="G2599" s="1"/>
      <c r="I2599" s="1"/>
      <c r="J2599" s="1"/>
      <c r="L2599" s="1"/>
      <c r="M2599" s="1"/>
      <c r="O2599" s="2"/>
      <c r="P2599" s="2"/>
    </row>
    <row r="2600" spans="1:16" x14ac:dyDescent="0.25">
      <c r="A2600" s="2"/>
      <c r="B2600" s="2"/>
      <c r="F2600" s="1"/>
      <c r="G2600" s="1"/>
      <c r="I2600" s="1"/>
      <c r="J2600" s="1"/>
      <c r="L2600" s="1"/>
      <c r="M2600" s="1"/>
      <c r="O2600" s="2"/>
      <c r="P2600" s="2"/>
    </row>
    <row r="2601" spans="1:16" x14ac:dyDescent="0.25">
      <c r="A2601" s="2"/>
      <c r="B2601" s="2"/>
      <c r="F2601" s="1"/>
      <c r="G2601" s="1"/>
      <c r="I2601" s="1"/>
      <c r="J2601" s="1"/>
      <c r="L2601" s="1"/>
      <c r="M2601" s="1"/>
      <c r="O2601" s="2"/>
      <c r="P2601" s="2"/>
    </row>
    <row r="2602" spans="1:16" x14ac:dyDescent="0.25">
      <c r="A2602" s="2"/>
      <c r="B2602" s="2"/>
      <c r="F2602" s="1"/>
      <c r="G2602" s="1"/>
      <c r="I2602" s="1"/>
      <c r="J2602" s="1"/>
      <c r="L2602" s="1"/>
      <c r="M2602" s="1"/>
      <c r="O2602" s="2"/>
      <c r="P2602" s="2"/>
    </row>
    <row r="2603" spans="1:16" x14ac:dyDescent="0.25">
      <c r="A2603" s="2"/>
      <c r="B2603" s="2"/>
      <c r="F2603" s="1"/>
      <c r="G2603" s="1"/>
      <c r="I2603" s="1"/>
      <c r="J2603" s="1"/>
      <c r="L2603" s="1"/>
      <c r="M2603" s="1"/>
      <c r="O2603" s="2"/>
      <c r="P2603" s="2"/>
    </row>
    <row r="2604" spans="1:16" x14ac:dyDescent="0.25">
      <c r="A2604" s="2"/>
      <c r="B2604" s="2"/>
      <c r="F2604" s="1"/>
      <c r="G2604" s="1"/>
      <c r="I2604" s="1"/>
      <c r="J2604" s="1"/>
      <c r="L2604" s="1"/>
      <c r="M2604" s="1"/>
      <c r="O2604" s="2"/>
      <c r="P2604" s="2"/>
    </row>
    <row r="2605" spans="1:16" x14ac:dyDescent="0.25">
      <c r="A2605" s="2"/>
      <c r="B2605" s="2"/>
      <c r="F2605" s="1"/>
      <c r="G2605" s="1"/>
      <c r="I2605" s="1"/>
      <c r="J2605" s="1"/>
      <c r="L2605" s="1"/>
      <c r="M2605" s="1"/>
      <c r="O2605" s="2"/>
      <c r="P2605" s="2"/>
    </row>
    <row r="2606" spans="1:16" x14ac:dyDescent="0.25">
      <c r="A2606" s="2"/>
      <c r="B2606" s="2"/>
      <c r="F2606" s="1"/>
      <c r="G2606" s="1"/>
      <c r="I2606" s="1"/>
      <c r="J2606" s="1"/>
      <c r="L2606" s="1"/>
      <c r="M2606" s="1"/>
      <c r="O2606" s="2"/>
      <c r="P2606" s="2"/>
    </row>
    <row r="2607" spans="1:16" x14ac:dyDescent="0.25">
      <c r="A2607" s="2"/>
      <c r="B2607" s="2"/>
      <c r="F2607" s="1"/>
      <c r="G2607" s="1"/>
      <c r="I2607" s="1"/>
      <c r="J2607" s="1"/>
      <c r="L2607" s="1"/>
      <c r="M2607" s="1"/>
      <c r="O2607" s="2"/>
      <c r="P2607" s="2"/>
    </row>
    <row r="2608" spans="1:16" x14ac:dyDescent="0.25">
      <c r="A2608" s="2"/>
      <c r="B2608" s="2"/>
      <c r="F2608" s="1"/>
      <c r="G2608" s="1"/>
      <c r="I2608" s="1"/>
      <c r="J2608" s="1"/>
      <c r="L2608" s="1"/>
      <c r="M2608" s="1"/>
      <c r="O2608" s="2"/>
      <c r="P2608" s="2"/>
    </row>
    <row r="2609" spans="1:16" x14ac:dyDescent="0.25">
      <c r="A2609" s="2"/>
      <c r="B2609" s="2"/>
      <c r="F2609" s="1"/>
      <c r="G2609" s="1"/>
      <c r="I2609" s="1"/>
      <c r="J2609" s="1"/>
      <c r="L2609" s="1"/>
      <c r="M2609" s="1"/>
      <c r="O2609" s="2"/>
      <c r="P2609" s="2"/>
    </row>
    <row r="2610" spans="1:16" x14ac:dyDescent="0.25">
      <c r="A2610" s="2"/>
      <c r="B2610" s="2"/>
      <c r="F2610" s="1"/>
      <c r="G2610" s="1"/>
      <c r="I2610" s="1"/>
      <c r="J2610" s="1"/>
      <c r="L2610" s="1"/>
      <c r="M2610" s="1"/>
      <c r="O2610" s="2"/>
      <c r="P2610" s="2"/>
    </row>
    <row r="2611" spans="1:16" x14ac:dyDescent="0.25">
      <c r="A2611" s="2"/>
      <c r="B2611" s="2"/>
      <c r="F2611" s="1"/>
      <c r="G2611" s="1"/>
      <c r="I2611" s="1"/>
      <c r="J2611" s="1"/>
      <c r="L2611" s="1"/>
      <c r="M2611" s="1"/>
      <c r="O2611" s="2"/>
      <c r="P2611" s="2"/>
    </row>
    <row r="2612" spans="1:16" x14ac:dyDescent="0.25">
      <c r="A2612" s="2"/>
      <c r="B2612" s="2"/>
      <c r="F2612" s="1"/>
      <c r="G2612" s="1"/>
      <c r="I2612" s="1"/>
      <c r="J2612" s="1"/>
      <c r="L2612" s="1"/>
      <c r="M2612" s="1"/>
      <c r="O2612" s="2"/>
      <c r="P2612" s="2"/>
    </row>
    <row r="2613" spans="1:16" x14ac:dyDescent="0.25">
      <c r="A2613" s="2"/>
      <c r="B2613" s="2"/>
      <c r="F2613" s="1"/>
      <c r="G2613" s="1"/>
      <c r="I2613" s="1"/>
      <c r="J2613" s="1"/>
      <c r="L2613" s="1"/>
      <c r="M2613" s="1"/>
      <c r="O2613" s="2"/>
      <c r="P2613" s="2"/>
    </row>
    <row r="2614" spans="1:16" x14ac:dyDescent="0.25">
      <c r="A2614" s="2"/>
      <c r="B2614" s="2"/>
      <c r="F2614" s="1"/>
      <c r="G2614" s="1"/>
      <c r="I2614" s="1"/>
      <c r="J2614" s="1"/>
      <c r="L2614" s="1"/>
      <c r="M2614" s="1"/>
      <c r="O2614" s="2"/>
      <c r="P2614" s="2"/>
    </row>
    <row r="2615" spans="1:16" x14ac:dyDescent="0.25">
      <c r="A2615" s="2"/>
      <c r="B2615" s="2"/>
      <c r="F2615" s="1"/>
      <c r="G2615" s="1"/>
      <c r="I2615" s="1"/>
      <c r="J2615" s="1"/>
      <c r="L2615" s="1"/>
      <c r="M2615" s="1"/>
      <c r="O2615" s="2"/>
      <c r="P2615" s="2"/>
    </row>
    <row r="2616" spans="1:16" x14ac:dyDescent="0.25">
      <c r="A2616" s="2"/>
      <c r="B2616" s="2"/>
      <c r="F2616" s="1"/>
      <c r="G2616" s="1"/>
      <c r="I2616" s="1"/>
      <c r="J2616" s="1"/>
      <c r="L2616" s="1"/>
      <c r="M2616" s="1"/>
      <c r="O2616" s="2"/>
      <c r="P2616" s="2"/>
    </row>
    <row r="2617" spans="1:16" x14ac:dyDescent="0.25">
      <c r="A2617" s="2"/>
      <c r="B2617" s="2"/>
      <c r="F2617" s="1"/>
      <c r="G2617" s="1"/>
      <c r="I2617" s="1"/>
      <c r="J2617" s="1"/>
      <c r="L2617" s="1"/>
      <c r="M2617" s="1"/>
      <c r="O2617" s="2"/>
      <c r="P2617" s="2"/>
    </row>
    <row r="2618" spans="1:16" x14ac:dyDescent="0.25">
      <c r="A2618" s="2"/>
      <c r="B2618" s="2"/>
      <c r="F2618" s="1"/>
      <c r="G2618" s="1"/>
      <c r="I2618" s="1"/>
      <c r="J2618" s="1"/>
      <c r="L2618" s="1"/>
      <c r="M2618" s="1"/>
      <c r="O2618" s="2"/>
      <c r="P2618" s="2"/>
    </row>
    <row r="2619" spans="1:16" x14ac:dyDescent="0.25">
      <c r="A2619" s="2"/>
      <c r="B2619" s="2"/>
      <c r="F2619" s="1"/>
      <c r="G2619" s="1"/>
      <c r="I2619" s="1"/>
      <c r="J2619" s="1"/>
      <c r="L2619" s="1"/>
      <c r="M2619" s="1"/>
      <c r="O2619" s="2"/>
      <c r="P2619" s="2"/>
    </row>
    <row r="2620" spans="1:16" x14ac:dyDescent="0.25">
      <c r="A2620" s="2"/>
      <c r="B2620" s="2"/>
      <c r="F2620" s="1"/>
      <c r="G2620" s="1"/>
      <c r="I2620" s="1"/>
      <c r="J2620" s="1"/>
      <c r="L2620" s="1"/>
      <c r="M2620" s="1"/>
      <c r="O2620" s="2"/>
      <c r="P2620" s="2"/>
    </row>
    <row r="2621" spans="1:16" x14ac:dyDescent="0.25">
      <c r="A2621" s="2"/>
      <c r="B2621" s="2"/>
      <c r="F2621" s="1"/>
      <c r="G2621" s="1"/>
      <c r="I2621" s="1"/>
      <c r="J2621" s="1"/>
      <c r="L2621" s="1"/>
      <c r="M2621" s="1"/>
      <c r="O2621" s="2"/>
      <c r="P2621" s="2"/>
    </row>
    <row r="2622" spans="1:16" x14ac:dyDescent="0.25">
      <c r="A2622" s="2"/>
      <c r="B2622" s="2"/>
      <c r="F2622" s="1"/>
      <c r="G2622" s="1"/>
      <c r="I2622" s="1"/>
      <c r="J2622" s="1"/>
      <c r="L2622" s="1"/>
      <c r="M2622" s="1"/>
      <c r="O2622" s="2"/>
      <c r="P2622" s="2"/>
    </row>
    <row r="2623" spans="1:16" x14ac:dyDescent="0.25">
      <c r="A2623" s="2"/>
      <c r="B2623" s="2"/>
      <c r="F2623" s="1"/>
      <c r="G2623" s="1"/>
      <c r="I2623" s="1"/>
      <c r="J2623" s="1"/>
      <c r="L2623" s="1"/>
      <c r="M2623" s="1"/>
      <c r="O2623" s="2"/>
      <c r="P2623" s="2"/>
    </row>
    <row r="2624" spans="1:16" x14ac:dyDescent="0.25">
      <c r="A2624" s="2"/>
      <c r="B2624" s="2"/>
      <c r="F2624" s="1"/>
      <c r="G2624" s="1"/>
      <c r="I2624" s="1"/>
      <c r="J2624" s="1"/>
      <c r="L2624" s="1"/>
      <c r="M2624" s="1"/>
      <c r="O2624" s="2"/>
      <c r="P2624" s="2"/>
    </row>
    <row r="2625" spans="1:16" x14ac:dyDescent="0.25">
      <c r="A2625" s="2"/>
      <c r="B2625" s="2"/>
      <c r="F2625" s="1"/>
      <c r="G2625" s="1"/>
      <c r="I2625" s="1"/>
      <c r="J2625" s="1"/>
      <c r="L2625" s="1"/>
      <c r="M2625" s="1"/>
      <c r="O2625" s="2"/>
      <c r="P2625" s="2"/>
    </row>
    <row r="2626" spans="1:16" x14ac:dyDescent="0.25">
      <c r="A2626" s="2"/>
      <c r="B2626" s="2"/>
      <c r="F2626" s="1"/>
      <c r="G2626" s="1"/>
      <c r="I2626" s="1"/>
      <c r="J2626" s="1"/>
      <c r="L2626" s="1"/>
      <c r="M2626" s="1"/>
      <c r="O2626" s="2"/>
      <c r="P2626" s="2"/>
    </row>
    <row r="2627" spans="1:16" x14ac:dyDescent="0.25">
      <c r="A2627" s="2"/>
      <c r="B2627" s="2"/>
      <c r="F2627" s="1"/>
      <c r="G2627" s="1"/>
      <c r="I2627" s="1"/>
      <c r="J2627" s="1"/>
      <c r="L2627" s="1"/>
      <c r="M2627" s="1"/>
      <c r="O2627" s="2"/>
      <c r="P2627" s="2"/>
    </row>
    <row r="2628" spans="1:16" x14ac:dyDescent="0.25">
      <c r="A2628" s="2"/>
      <c r="B2628" s="2"/>
      <c r="F2628" s="1"/>
      <c r="G2628" s="1"/>
      <c r="I2628" s="1"/>
      <c r="J2628" s="1"/>
      <c r="L2628" s="1"/>
      <c r="M2628" s="1"/>
      <c r="O2628" s="2"/>
      <c r="P2628" s="2"/>
    </row>
    <row r="2629" spans="1:16" x14ac:dyDescent="0.25">
      <c r="A2629" s="2"/>
      <c r="B2629" s="2"/>
      <c r="F2629" s="1"/>
      <c r="G2629" s="1"/>
      <c r="I2629" s="1"/>
      <c r="J2629" s="1"/>
      <c r="L2629" s="1"/>
      <c r="M2629" s="1"/>
      <c r="O2629" s="2"/>
      <c r="P2629" s="2"/>
    </row>
    <row r="2630" spans="1:16" x14ac:dyDescent="0.25">
      <c r="A2630" s="2"/>
      <c r="B2630" s="2"/>
      <c r="F2630" s="1"/>
      <c r="G2630" s="1"/>
      <c r="I2630" s="1"/>
      <c r="J2630" s="1"/>
      <c r="L2630" s="1"/>
      <c r="M2630" s="1"/>
      <c r="O2630" s="2"/>
      <c r="P2630" s="2"/>
    </row>
    <row r="2631" spans="1:16" x14ac:dyDescent="0.25">
      <c r="A2631" s="2"/>
      <c r="B2631" s="2"/>
      <c r="F2631" s="1"/>
      <c r="G2631" s="1"/>
      <c r="I2631" s="1"/>
      <c r="J2631" s="1"/>
      <c r="L2631" s="1"/>
      <c r="M2631" s="1"/>
      <c r="O2631" s="2"/>
      <c r="P2631" s="2"/>
    </row>
    <row r="2632" spans="1:16" x14ac:dyDescent="0.25">
      <c r="A2632" s="2"/>
      <c r="B2632" s="2"/>
      <c r="F2632" s="1"/>
      <c r="G2632" s="1"/>
      <c r="I2632" s="1"/>
      <c r="J2632" s="1"/>
      <c r="L2632" s="1"/>
      <c r="M2632" s="1"/>
      <c r="O2632" s="2"/>
      <c r="P2632" s="2"/>
    </row>
    <row r="2633" spans="1:16" x14ac:dyDescent="0.25">
      <c r="A2633" s="2"/>
      <c r="B2633" s="2"/>
      <c r="F2633" s="1"/>
      <c r="G2633" s="1"/>
      <c r="I2633" s="1"/>
      <c r="J2633" s="1"/>
      <c r="L2633" s="1"/>
      <c r="M2633" s="1"/>
      <c r="O2633" s="2"/>
      <c r="P2633" s="2"/>
    </row>
    <row r="2634" spans="1:16" x14ac:dyDescent="0.25">
      <c r="A2634" s="2"/>
      <c r="B2634" s="2"/>
      <c r="F2634" s="1"/>
      <c r="G2634" s="1"/>
      <c r="I2634" s="1"/>
      <c r="J2634" s="1"/>
      <c r="L2634" s="1"/>
      <c r="M2634" s="1"/>
      <c r="O2634" s="2"/>
      <c r="P2634" s="2"/>
    </row>
    <row r="2635" spans="1:16" x14ac:dyDescent="0.25">
      <c r="A2635" s="2"/>
      <c r="B2635" s="2"/>
      <c r="F2635" s="1"/>
      <c r="G2635" s="1"/>
      <c r="I2635" s="1"/>
      <c r="J2635" s="1"/>
      <c r="L2635" s="1"/>
      <c r="M2635" s="1"/>
      <c r="O2635" s="2"/>
      <c r="P2635" s="2"/>
    </row>
    <row r="2636" spans="1:16" x14ac:dyDescent="0.25">
      <c r="A2636" s="2"/>
      <c r="B2636" s="2"/>
      <c r="F2636" s="1"/>
      <c r="G2636" s="1"/>
      <c r="I2636" s="1"/>
      <c r="J2636" s="1"/>
      <c r="L2636" s="1"/>
      <c r="M2636" s="1"/>
      <c r="O2636" s="2"/>
      <c r="P2636" s="2"/>
    </row>
    <row r="2637" spans="1:16" x14ac:dyDescent="0.25">
      <c r="A2637" s="2"/>
      <c r="B2637" s="2"/>
      <c r="F2637" s="1"/>
      <c r="G2637" s="1"/>
      <c r="I2637" s="1"/>
      <c r="J2637" s="1"/>
      <c r="L2637" s="1"/>
      <c r="M2637" s="1"/>
      <c r="O2637" s="2"/>
      <c r="P2637" s="2"/>
    </row>
    <row r="2638" spans="1:16" x14ac:dyDescent="0.25">
      <c r="A2638" s="2"/>
      <c r="B2638" s="2"/>
      <c r="F2638" s="1"/>
      <c r="G2638" s="1"/>
      <c r="I2638" s="1"/>
      <c r="J2638" s="1"/>
      <c r="L2638" s="1"/>
      <c r="M2638" s="1"/>
      <c r="O2638" s="2"/>
      <c r="P2638" s="2"/>
    </row>
    <row r="2639" spans="1:16" x14ac:dyDescent="0.25">
      <c r="A2639" s="2"/>
      <c r="B2639" s="2"/>
      <c r="F2639" s="1"/>
      <c r="G2639" s="1"/>
      <c r="I2639" s="1"/>
      <c r="J2639" s="1"/>
      <c r="L2639" s="1"/>
      <c r="M2639" s="1"/>
      <c r="O2639" s="2"/>
      <c r="P2639" s="2"/>
    </row>
    <row r="2640" spans="1:16" x14ac:dyDescent="0.25">
      <c r="A2640" s="2"/>
      <c r="B2640" s="2"/>
      <c r="F2640" s="1"/>
      <c r="G2640" s="1"/>
      <c r="I2640" s="1"/>
      <c r="J2640" s="1"/>
      <c r="L2640" s="1"/>
      <c r="M2640" s="1"/>
      <c r="O2640" s="2"/>
      <c r="P2640" s="2"/>
    </row>
    <row r="2641" spans="1:16" x14ac:dyDescent="0.25">
      <c r="A2641" s="2"/>
      <c r="B2641" s="2"/>
      <c r="F2641" s="1"/>
      <c r="G2641" s="1"/>
      <c r="I2641" s="1"/>
      <c r="J2641" s="1"/>
      <c r="L2641" s="1"/>
      <c r="M2641" s="1"/>
      <c r="O2641" s="2"/>
      <c r="P2641" s="2"/>
    </row>
    <row r="2642" spans="1:16" x14ac:dyDescent="0.25">
      <c r="A2642" s="2"/>
      <c r="B2642" s="2"/>
      <c r="F2642" s="1"/>
      <c r="G2642" s="1"/>
      <c r="I2642" s="1"/>
      <c r="J2642" s="1"/>
      <c r="L2642" s="1"/>
      <c r="M2642" s="1"/>
      <c r="O2642" s="2"/>
      <c r="P2642" s="2"/>
    </row>
    <row r="2643" spans="1:16" x14ac:dyDescent="0.25">
      <c r="A2643" s="2"/>
      <c r="B2643" s="2"/>
      <c r="F2643" s="1"/>
      <c r="G2643" s="1"/>
      <c r="I2643" s="1"/>
      <c r="J2643" s="1"/>
      <c r="L2643" s="1"/>
      <c r="M2643" s="1"/>
      <c r="O2643" s="2"/>
      <c r="P2643" s="2"/>
    </row>
    <row r="2644" spans="1:16" x14ac:dyDescent="0.25">
      <c r="A2644" s="2"/>
      <c r="B2644" s="2"/>
      <c r="F2644" s="1"/>
      <c r="G2644" s="1"/>
      <c r="I2644" s="1"/>
      <c r="J2644" s="1"/>
      <c r="L2644" s="1"/>
      <c r="M2644" s="1"/>
      <c r="O2644" s="2"/>
      <c r="P2644" s="2"/>
    </row>
    <row r="2645" spans="1:16" x14ac:dyDescent="0.25">
      <c r="A2645" s="2"/>
      <c r="B2645" s="2"/>
      <c r="F2645" s="1"/>
      <c r="G2645" s="1"/>
      <c r="I2645" s="1"/>
      <c r="J2645" s="1"/>
      <c r="L2645" s="1"/>
      <c r="M2645" s="1"/>
      <c r="O2645" s="2"/>
      <c r="P2645" s="2"/>
    </row>
    <row r="2646" spans="1:16" x14ac:dyDescent="0.25">
      <c r="A2646" s="2"/>
      <c r="B2646" s="2"/>
      <c r="F2646" s="1"/>
      <c r="G2646" s="1"/>
      <c r="I2646" s="1"/>
      <c r="J2646" s="1"/>
      <c r="L2646" s="1"/>
      <c r="M2646" s="1"/>
      <c r="O2646" s="2"/>
      <c r="P2646" s="2"/>
    </row>
    <row r="2647" spans="1:16" x14ac:dyDescent="0.25">
      <c r="A2647" s="2"/>
      <c r="B2647" s="2"/>
      <c r="F2647" s="1"/>
      <c r="G2647" s="1"/>
      <c r="I2647" s="1"/>
      <c r="J2647" s="1"/>
      <c r="L2647" s="1"/>
      <c r="M2647" s="1"/>
      <c r="O2647" s="2"/>
      <c r="P2647" s="2"/>
    </row>
    <row r="2648" spans="1:16" x14ac:dyDescent="0.25">
      <c r="A2648" s="2"/>
      <c r="B2648" s="2"/>
      <c r="F2648" s="1"/>
      <c r="G2648" s="1"/>
      <c r="I2648" s="1"/>
      <c r="J2648" s="1"/>
      <c r="L2648" s="1"/>
      <c r="M2648" s="1"/>
      <c r="O2648" s="2"/>
      <c r="P2648" s="2"/>
    </row>
    <row r="2649" spans="1:16" x14ac:dyDescent="0.25">
      <c r="A2649" s="2"/>
      <c r="B2649" s="2"/>
      <c r="F2649" s="1"/>
      <c r="G2649" s="1"/>
      <c r="I2649" s="1"/>
      <c r="J2649" s="1"/>
      <c r="L2649" s="1"/>
      <c r="M2649" s="1"/>
      <c r="O2649" s="2"/>
      <c r="P2649" s="2"/>
    </row>
    <row r="2650" spans="1:16" x14ac:dyDescent="0.25">
      <c r="A2650" s="2"/>
      <c r="B2650" s="2"/>
      <c r="F2650" s="1"/>
      <c r="G2650" s="1"/>
      <c r="I2650" s="1"/>
      <c r="J2650" s="1"/>
      <c r="L2650" s="1"/>
      <c r="M2650" s="1"/>
      <c r="O2650" s="2"/>
      <c r="P2650" s="2"/>
    </row>
    <row r="2651" spans="1:16" x14ac:dyDescent="0.25">
      <c r="A2651" s="2"/>
      <c r="B2651" s="2"/>
      <c r="F2651" s="1"/>
      <c r="G2651" s="1"/>
      <c r="I2651" s="1"/>
      <c r="J2651" s="1"/>
      <c r="L2651" s="1"/>
      <c r="M2651" s="1"/>
      <c r="O2651" s="2"/>
      <c r="P2651" s="2"/>
    </row>
    <row r="2652" spans="1:16" x14ac:dyDescent="0.25">
      <c r="A2652" s="2"/>
      <c r="B2652" s="2"/>
      <c r="F2652" s="1"/>
      <c r="G2652" s="1"/>
      <c r="I2652" s="1"/>
      <c r="J2652" s="1"/>
      <c r="L2652" s="1"/>
      <c r="M2652" s="1"/>
      <c r="O2652" s="2"/>
      <c r="P2652" s="2"/>
    </row>
    <row r="2653" spans="1:16" x14ac:dyDescent="0.25">
      <c r="A2653" s="2"/>
      <c r="B2653" s="2"/>
      <c r="F2653" s="1"/>
      <c r="G2653" s="1"/>
      <c r="I2653" s="1"/>
      <c r="J2653" s="1"/>
      <c r="L2653" s="1"/>
      <c r="M2653" s="1"/>
      <c r="O2653" s="2"/>
      <c r="P2653" s="2"/>
    </row>
    <row r="2654" spans="1:16" x14ac:dyDescent="0.25">
      <c r="A2654" s="2"/>
      <c r="B2654" s="2"/>
      <c r="F2654" s="1"/>
      <c r="G2654" s="1"/>
      <c r="I2654" s="1"/>
      <c r="J2654" s="1"/>
      <c r="L2654" s="1"/>
      <c r="M2654" s="1"/>
      <c r="O2654" s="2"/>
      <c r="P2654" s="2"/>
    </row>
    <row r="2655" spans="1:16" x14ac:dyDescent="0.25">
      <c r="A2655" s="2"/>
      <c r="B2655" s="2"/>
      <c r="F2655" s="1"/>
      <c r="G2655" s="1"/>
      <c r="I2655" s="1"/>
      <c r="J2655" s="1"/>
      <c r="L2655" s="1"/>
      <c r="M2655" s="1"/>
      <c r="O2655" s="2"/>
      <c r="P2655" s="2"/>
    </row>
    <row r="2656" spans="1:16" x14ac:dyDescent="0.25">
      <c r="A2656" s="2"/>
      <c r="B2656" s="2"/>
      <c r="F2656" s="1"/>
      <c r="G2656" s="1"/>
      <c r="I2656" s="1"/>
      <c r="J2656" s="1"/>
      <c r="L2656" s="1"/>
      <c r="M2656" s="1"/>
      <c r="O2656" s="2"/>
      <c r="P2656" s="2"/>
    </row>
    <row r="2657" spans="1:16" x14ac:dyDescent="0.25">
      <c r="A2657" s="2"/>
      <c r="B2657" s="2"/>
      <c r="F2657" s="1"/>
      <c r="G2657" s="1"/>
      <c r="I2657" s="1"/>
      <c r="J2657" s="1"/>
      <c r="L2657" s="1"/>
      <c r="M2657" s="1"/>
      <c r="O2657" s="2"/>
      <c r="P2657" s="2"/>
    </row>
    <row r="2658" spans="1:16" x14ac:dyDescent="0.25">
      <c r="A2658" s="2"/>
      <c r="B2658" s="2"/>
      <c r="F2658" s="1"/>
      <c r="G2658" s="1"/>
      <c r="I2658" s="1"/>
      <c r="J2658" s="1"/>
      <c r="L2658" s="1"/>
      <c r="M2658" s="1"/>
      <c r="O2658" s="2"/>
      <c r="P2658" s="2"/>
    </row>
    <row r="2659" spans="1:16" x14ac:dyDescent="0.25">
      <c r="A2659" s="2"/>
      <c r="B2659" s="2"/>
      <c r="F2659" s="1"/>
      <c r="G2659" s="1"/>
      <c r="I2659" s="1"/>
      <c r="J2659" s="1"/>
      <c r="L2659" s="1"/>
      <c r="M2659" s="1"/>
      <c r="O2659" s="2"/>
      <c r="P2659" s="2"/>
    </row>
    <row r="2660" spans="1:16" x14ac:dyDescent="0.25">
      <c r="A2660" s="2"/>
      <c r="B2660" s="2"/>
      <c r="F2660" s="1"/>
      <c r="G2660" s="1"/>
      <c r="I2660" s="1"/>
      <c r="J2660" s="1"/>
      <c r="L2660" s="1"/>
      <c r="M2660" s="1"/>
      <c r="O2660" s="2"/>
      <c r="P2660" s="2"/>
    </row>
    <row r="2661" spans="1:16" x14ac:dyDescent="0.25">
      <c r="A2661" s="2"/>
      <c r="B2661" s="2"/>
      <c r="F2661" s="1"/>
      <c r="G2661" s="1"/>
      <c r="I2661" s="1"/>
      <c r="J2661" s="1"/>
      <c r="L2661" s="1"/>
      <c r="M2661" s="1"/>
      <c r="O2661" s="2"/>
      <c r="P2661" s="2"/>
    </row>
    <row r="2662" spans="1:16" x14ac:dyDescent="0.25">
      <c r="A2662" s="2"/>
      <c r="B2662" s="2"/>
      <c r="F2662" s="1"/>
      <c r="G2662" s="1"/>
      <c r="I2662" s="1"/>
      <c r="J2662" s="1"/>
      <c r="L2662" s="1"/>
      <c r="M2662" s="1"/>
      <c r="O2662" s="2"/>
      <c r="P2662" s="2"/>
    </row>
    <row r="2663" spans="1:16" x14ac:dyDescent="0.25">
      <c r="A2663" s="2"/>
      <c r="B2663" s="2"/>
      <c r="F2663" s="1"/>
      <c r="G2663" s="1"/>
      <c r="I2663" s="1"/>
      <c r="J2663" s="1"/>
      <c r="L2663" s="1"/>
      <c r="M2663" s="1"/>
      <c r="O2663" s="2"/>
      <c r="P2663" s="2"/>
    </row>
    <row r="2664" spans="1:16" x14ac:dyDescent="0.25">
      <c r="A2664" s="2"/>
      <c r="B2664" s="2"/>
      <c r="F2664" s="1"/>
      <c r="G2664" s="1"/>
      <c r="I2664" s="1"/>
      <c r="J2664" s="1"/>
      <c r="L2664" s="1"/>
      <c r="M2664" s="1"/>
      <c r="O2664" s="2"/>
      <c r="P2664" s="2"/>
    </row>
    <row r="2665" spans="1:16" x14ac:dyDescent="0.25">
      <c r="A2665" s="2"/>
      <c r="B2665" s="2"/>
      <c r="F2665" s="1"/>
      <c r="G2665" s="1"/>
      <c r="I2665" s="1"/>
      <c r="J2665" s="1"/>
      <c r="L2665" s="1"/>
      <c r="M2665" s="1"/>
      <c r="O2665" s="2"/>
      <c r="P2665" s="2"/>
    </row>
    <row r="2666" spans="1:16" x14ac:dyDescent="0.25">
      <c r="A2666" s="2"/>
      <c r="B2666" s="2"/>
      <c r="F2666" s="1"/>
      <c r="G2666" s="1"/>
      <c r="I2666" s="1"/>
      <c r="J2666" s="1"/>
      <c r="L2666" s="1"/>
      <c r="M2666" s="1"/>
      <c r="O2666" s="2"/>
      <c r="P2666" s="2"/>
    </row>
    <row r="2667" spans="1:16" x14ac:dyDescent="0.25">
      <c r="A2667" s="2"/>
      <c r="B2667" s="2"/>
      <c r="F2667" s="1"/>
      <c r="G2667" s="1"/>
      <c r="I2667" s="1"/>
      <c r="J2667" s="1"/>
      <c r="L2667" s="1"/>
      <c r="M2667" s="1"/>
      <c r="O2667" s="2"/>
      <c r="P2667" s="2"/>
    </row>
    <row r="2668" spans="1:16" x14ac:dyDescent="0.25">
      <c r="A2668" s="2"/>
      <c r="B2668" s="2"/>
      <c r="F2668" s="1"/>
      <c r="G2668" s="1"/>
      <c r="I2668" s="1"/>
      <c r="J2668" s="1"/>
      <c r="L2668" s="1"/>
      <c r="M2668" s="1"/>
      <c r="O2668" s="2"/>
      <c r="P2668" s="2"/>
    </row>
    <row r="2669" spans="1:16" x14ac:dyDescent="0.25">
      <c r="A2669" s="2"/>
      <c r="B2669" s="2"/>
      <c r="F2669" s="1"/>
      <c r="G2669" s="1"/>
      <c r="I2669" s="1"/>
      <c r="J2669" s="1"/>
      <c r="L2669" s="1"/>
      <c r="M2669" s="1"/>
      <c r="O2669" s="2"/>
      <c r="P2669" s="2"/>
    </row>
    <row r="2670" spans="1:16" x14ac:dyDescent="0.25">
      <c r="A2670" s="2"/>
      <c r="B2670" s="2"/>
      <c r="F2670" s="1"/>
      <c r="G2670" s="1"/>
      <c r="I2670" s="1"/>
      <c r="J2670" s="1"/>
      <c r="L2670" s="1"/>
      <c r="M2670" s="1"/>
      <c r="O2670" s="2"/>
      <c r="P2670" s="2"/>
    </row>
    <row r="2671" spans="1:16" x14ac:dyDescent="0.25">
      <c r="A2671" s="2"/>
      <c r="B2671" s="2"/>
      <c r="F2671" s="1"/>
      <c r="G2671" s="1"/>
      <c r="I2671" s="1"/>
      <c r="J2671" s="1"/>
      <c r="L2671" s="1"/>
      <c r="M2671" s="1"/>
      <c r="O2671" s="2"/>
      <c r="P2671" s="2"/>
    </row>
    <row r="2672" spans="1:16" x14ac:dyDescent="0.25">
      <c r="A2672" s="2"/>
      <c r="B2672" s="2"/>
      <c r="F2672" s="1"/>
      <c r="G2672" s="1"/>
      <c r="I2672" s="1"/>
      <c r="J2672" s="1"/>
      <c r="L2672" s="1"/>
      <c r="M2672" s="1"/>
      <c r="O2672" s="2"/>
      <c r="P2672" s="2"/>
    </row>
    <row r="2673" spans="1:16" x14ac:dyDescent="0.25">
      <c r="A2673" s="2"/>
      <c r="B2673" s="2"/>
      <c r="F2673" s="1"/>
      <c r="G2673" s="1"/>
      <c r="I2673" s="1"/>
      <c r="J2673" s="1"/>
      <c r="L2673" s="1"/>
      <c r="M2673" s="1"/>
      <c r="O2673" s="2"/>
      <c r="P2673" s="2"/>
    </row>
    <row r="2674" spans="1:16" x14ac:dyDescent="0.25">
      <c r="A2674" s="2"/>
      <c r="B2674" s="2"/>
      <c r="F2674" s="1"/>
      <c r="G2674" s="1"/>
      <c r="I2674" s="1"/>
      <c r="J2674" s="1"/>
      <c r="L2674" s="1"/>
      <c r="M2674" s="1"/>
      <c r="O2674" s="2"/>
      <c r="P2674" s="2"/>
    </row>
    <row r="2675" spans="1:16" x14ac:dyDescent="0.25">
      <c r="A2675" s="2"/>
      <c r="B2675" s="2"/>
      <c r="F2675" s="1"/>
      <c r="G2675" s="1"/>
      <c r="I2675" s="1"/>
      <c r="J2675" s="1"/>
      <c r="L2675" s="1"/>
      <c r="M2675" s="1"/>
      <c r="O2675" s="2"/>
      <c r="P2675" s="2"/>
    </row>
    <row r="2676" spans="1:16" x14ac:dyDescent="0.25">
      <c r="A2676" s="2"/>
      <c r="B2676" s="2"/>
      <c r="F2676" s="1"/>
      <c r="G2676" s="1"/>
      <c r="I2676" s="1"/>
      <c r="J2676" s="1"/>
      <c r="L2676" s="1"/>
      <c r="M2676" s="1"/>
      <c r="O2676" s="2"/>
      <c r="P2676" s="2"/>
    </row>
    <row r="2677" spans="1:16" x14ac:dyDescent="0.25">
      <c r="A2677" s="2"/>
      <c r="B2677" s="2"/>
      <c r="F2677" s="1"/>
      <c r="G2677" s="1"/>
      <c r="I2677" s="1"/>
      <c r="J2677" s="1"/>
      <c r="L2677" s="1"/>
      <c r="M2677" s="1"/>
      <c r="O2677" s="2"/>
      <c r="P2677" s="2"/>
    </row>
    <row r="2678" spans="1:16" x14ac:dyDescent="0.25">
      <c r="A2678" s="2"/>
      <c r="B2678" s="2"/>
      <c r="F2678" s="1"/>
      <c r="G2678" s="1"/>
      <c r="I2678" s="1"/>
      <c r="J2678" s="1"/>
      <c r="L2678" s="1"/>
      <c r="M2678" s="1"/>
      <c r="O2678" s="2"/>
      <c r="P2678" s="2"/>
    </row>
    <row r="2679" spans="1:16" x14ac:dyDescent="0.25">
      <c r="A2679" s="2"/>
      <c r="B2679" s="2"/>
      <c r="F2679" s="1"/>
      <c r="G2679" s="1"/>
      <c r="I2679" s="1"/>
      <c r="J2679" s="1"/>
      <c r="L2679" s="1"/>
      <c r="M2679" s="1"/>
      <c r="O2679" s="2"/>
      <c r="P2679" s="2"/>
    </row>
    <row r="2680" spans="1:16" x14ac:dyDescent="0.25">
      <c r="A2680" s="2"/>
      <c r="B2680" s="2"/>
      <c r="F2680" s="1"/>
      <c r="G2680" s="1"/>
      <c r="I2680" s="1"/>
      <c r="J2680" s="1"/>
      <c r="L2680" s="1"/>
      <c r="M2680" s="1"/>
      <c r="O2680" s="2"/>
      <c r="P2680" s="2"/>
    </row>
    <row r="2681" spans="1:16" x14ac:dyDescent="0.25">
      <c r="A2681" s="2"/>
      <c r="B2681" s="2"/>
      <c r="F2681" s="1"/>
      <c r="G2681" s="1"/>
      <c r="I2681" s="1"/>
      <c r="J2681" s="1"/>
      <c r="L2681" s="1"/>
      <c r="M2681" s="1"/>
      <c r="O2681" s="2"/>
      <c r="P2681" s="2"/>
    </row>
    <row r="2682" spans="1:16" x14ac:dyDescent="0.25">
      <c r="A2682" s="2"/>
      <c r="B2682" s="2"/>
      <c r="F2682" s="1"/>
      <c r="G2682" s="1"/>
      <c r="I2682" s="1"/>
      <c r="J2682" s="1"/>
      <c r="L2682" s="1"/>
      <c r="M2682" s="1"/>
      <c r="O2682" s="2"/>
      <c r="P2682" s="2"/>
    </row>
    <row r="2683" spans="1:16" x14ac:dyDescent="0.25">
      <c r="A2683" s="2"/>
      <c r="B2683" s="2"/>
      <c r="F2683" s="1"/>
      <c r="G2683" s="1"/>
      <c r="I2683" s="1"/>
      <c r="J2683" s="1"/>
      <c r="L2683" s="1"/>
      <c r="M2683" s="1"/>
      <c r="O2683" s="2"/>
      <c r="P2683" s="2"/>
    </row>
    <row r="2684" spans="1:16" x14ac:dyDescent="0.25">
      <c r="A2684" s="2"/>
      <c r="B2684" s="2"/>
      <c r="F2684" s="1"/>
      <c r="G2684" s="1"/>
      <c r="I2684" s="1"/>
      <c r="J2684" s="1"/>
      <c r="L2684" s="1"/>
      <c r="M2684" s="1"/>
      <c r="O2684" s="2"/>
      <c r="P2684" s="2"/>
    </row>
    <row r="2685" spans="1:16" x14ac:dyDescent="0.25">
      <c r="A2685" s="2"/>
      <c r="B2685" s="2"/>
      <c r="F2685" s="1"/>
      <c r="G2685" s="1"/>
      <c r="I2685" s="1"/>
      <c r="J2685" s="1"/>
      <c r="L2685" s="1"/>
      <c r="M2685" s="1"/>
      <c r="O2685" s="2"/>
      <c r="P2685" s="2"/>
    </row>
    <row r="2686" spans="1:16" x14ac:dyDescent="0.25">
      <c r="A2686" s="2"/>
      <c r="B2686" s="2"/>
      <c r="F2686" s="1"/>
      <c r="G2686" s="1"/>
      <c r="I2686" s="1"/>
      <c r="J2686" s="1"/>
      <c r="L2686" s="1"/>
      <c r="M2686" s="1"/>
      <c r="O2686" s="2"/>
      <c r="P2686" s="2"/>
    </row>
    <row r="2687" spans="1:16" x14ac:dyDescent="0.25">
      <c r="A2687" s="2"/>
      <c r="B2687" s="2"/>
      <c r="F2687" s="1"/>
      <c r="G2687" s="1"/>
      <c r="I2687" s="1"/>
      <c r="J2687" s="1"/>
      <c r="L2687" s="1"/>
      <c r="M2687" s="1"/>
      <c r="O2687" s="2"/>
      <c r="P2687" s="2"/>
    </row>
    <row r="2688" spans="1:16" x14ac:dyDescent="0.25">
      <c r="A2688" s="2"/>
      <c r="B2688" s="2"/>
      <c r="F2688" s="1"/>
      <c r="G2688" s="1"/>
      <c r="I2688" s="1"/>
      <c r="J2688" s="1"/>
      <c r="L2688" s="1"/>
      <c r="M2688" s="1"/>
      <c r="O2688" s="2"/>
      <c r="P2688" s="2"/>
    </row>
    <row r="2689" spans="1:16" x14ac:dyDescent="0.25">
      <c r="A2689" s="2"/>
      <c r="B2689" s="2"/>
      <c r="F2689" s="1"/>
      <c r="G2689" s="1"/>
      <c r="I2689" s="1"/>
      <c r="J2689" s="1"/>
      <c r="L2689" s="1"/>
      <c r="M2689" s="1"/>
      <c r="O2689" s="2"/>
      <c r="P2689" s="2"/>
    </row>
    <row r="2690" spans="1:16" x14ac:dyDescent="0.25">
      <c r="A2690" s="2"/>
      <c r="B2690" s="2"/>
      <c r="F2690" s="1"/>
      <c r="G2690" s="1"/>
      <c r="I2690" s="1"/>
      <c r="J2690" s="1"/>
      <c r="L2690" s="1"/>
      <c r="M2690" s="1"/>
      <c r="O2690" s="2"/>
      <c r="P2690" s="2"/>
    </row>
    <row r="2691" spans="1:16" x14ac:dyDescent="0.25">
      <c r="A2691" s="2"/>
      <c r="B2691" s="2"/>
      <c r="F2691" s="1"/>
      <c r="G2691" s="1"/>
      <c r="I2691" s="1"/>
      <c r="J2691" s="1"/>
      <c r="L2691" s="1"/>
      <c r="M2691" s="1"/>
      <c r="O2691" s="2"/>
      <c r="P2691" s="2"/>
    </row>
    <row r="2692" spans="1:16" x14ac:dyDescent="0.25">
      <c r="A2692" s="2"/>
      <c r="B2692" s="2"/>
      <c r="F2692" s="1"/>
      <c r="G2692" s="1"/>
      <c r="I2692" s="1"/>
      <c r="J2692" s="1"/>
      <c r="L2692" s="1"/>
      <c r="M2692" s="1"/>
      <c r="O2692" s="2"/>
      <c r="P2692" s="2"/>
    </row>
    <row r="2693" spans="1:16" x14ac:dyDescent="0.25">
      <c r="A2693" s="2"/>
      <c r="B2693" s="2"/>
      <c r="F2693" s="1"/>
      <c r="G2693" s="1"/>
      <c r="I2693" s="1"/>
      <c r="J2693" s="1"/>
      <c r="L2693" s="1"/>
      <c r="M2693" s="1"/>
      <c r="O2693" s="2"/>
      <c r="P2693" s="2"/>
    </row>
    <row r="2694" spans="1:16" x14ac:dyDescent="0.25">
      <c r="A2694" s="2"/>
      <c r="B2694" s="2"/>
      <c r="F2694" s="1"/>
      <c r="G2694" s="1"/>
      <c r="I2694" s="1"/>
      <c r="J2694" s="1"/>
      <c r="L2694" s="1"/>
      <c r="M2694" s="1"/>
      <c r="O2694" s="2"/>
      <c r="P2694" s="2"/>
    </row>
    <row r="2695" spans="1:16" x14ac:dyDescent="0.25">
      <c r="A2695" s="2"/>
      <c r="B2695" s="2"/>
      <c r="F2695" s="1"/>
      <c r="G2695" s="1"/>
      <c r="I2695" s="1"/>
      <c r="J2695" s="1"/>
      <c r="L2695" s="1"/>
      <c r="M2695" s="1"/>
      <c r="O2695" s="2"/>
      <c r="P2695" s="2"/>
    </row>
    <row r="2696" spans="1:16" x14ac:dyDescent="0.25">
      <c r="A2696" s="2"/>
      <c r="B2696" s="2"/>
      <c r="F2696" s="1"/>
      <c r="G2696" s="1"/>
      <c r="I2696" s="1"/>
      <c r="J2696" s="1"/>
      <c r="L2696" s="1"/>
      <c r="M2696" s="1"/>
      <c r="O2696" s="2"/>
      <c r="P2696" s="2"/>
    </row>
    <row r="2697" spans="1:16" x14ac:dyDescent="0.25">
      <c r="A2697" s="2"/>
      <c r="B2697" s="2"/>
      <c r="F2697" s="1"/>
      <c r="G2697" s="1"/>
      <c r="I2697" s="1"/>
      <c r="J2697" s="1"/>
      <c r="L2697" s="1"/>
      <c r="M2697" s="1"/>
      <c r="O2697" s="2"/>
      <c r="P2697" s="2"/>
    </row>
    <row r="2698" spans="1:16" x14ac:dyDescent="0.25">
      <c r="A2698" s="2"/>
      <c r="B2698" s="2"/>
      <c r="F2698" s="1"/>
      <c r="G2698" s="1"/>
      <c r="I2698" s="1"/>
      <c r="J2698" s="1"/>
      <c r="L2698" s="1"/>
      <c r="M2698" s="1"/>
      <c r="O2698" s="2"/>
      <c r="P2698" s="2"/>
    </row>
    <row r="2699" spans="1:16" x14ac:dyDescent="0.25">
      <c r="A2699" s="2"/>
      <c r="B2699" s="2"/>
      <c r="F2699" s="1"/>
      <c r="G2699" s="1"/>
      <c r="I2699" s="1"/>
      <c r="J2699" s="1"/>
      <c r="L2699" s="1"/>
      <c r="M2699" s="1"/>
      <c r="O2699" s="2"/>
      <c r="P2699" s="2"/>
    </row>
    <row r="2700" spans="1:16" x14ac:dyDescent="0.25">
      <c r="A2700" s="2"/>
      <c r="B2700" s="2"/>
      <c r="F2700" s="1"/>
      <c r="G2700" s="1"/>
      <c r="I2700" s="1"/>
      <c r="J2700" s="1"/>
      <c r="L2700" s="1"/>
      <c r="M2700" s="1"/>
      <c r="O2700" s="2"/>
      <c r="P2700" s="2"/>
    </row>
    <row r="2701" spans="1:16" x14ac:dyDescent="0.25">
      <c r="A2701" s="2"/>
      <c r="B2701" s="2"/>
      <c r="F2701" s="1"/>
      <c r="G2701" s="1"/>
      <c r="I2701" s="1"/>
      <c r="J2701" s="1"/>
      <c r="L2701" s="1"/>
      <c r="M2701" s="1"/>
      <c r="O2701" s="2"/>
      <c r="P2701" s="2"/>
    </row>
    <row r="2702" spans="1:16" x14ac:dyDescent="0.25">
      <c r="A2702" s="2"/>
      <c r="B2702" s="2"/>
      <c r="F2702" s="1"/>
      <c r="G2702" s="1"/>
      <c r="I2702" s="1"/>
      <c r="J2702" s="1"/>
      <c r="L2702" s="1"/>
      <c r="M2702" s="1"/>
      <c r="O2702" s="2"/>
      <c r="P2702" s="2"/>
    </row>
    <row r="2703" spans="1:16" x14ac:dyDescent="0.25">
      <c r="A2703" s="2"/>
      <c r="B2703" s="2"/>
      <c r="F2703" s="1"/>
      <c r="G2703" s="1"/>
      <c r="I2703" s="1"/>
      <c r="J2703" s="1"/>
      <c r="L2703" s="1"/>
      <c r="M2703" s="1"/>
      <c r="O2703" s="2"/>
      <c r="P2703" s="2"/>
    </row>
    <row r="2704" spans="1:16" x14ac:dyDescent="0.25">
      <c r="A2704" s="2"/>
      <c r="B2704" s="2"/>
      <c r="F2704" s="1"/>
      <c r="G2704" s="1"/>
      <c r="I2704" s="1"/>
      <c r="J2704" s="1"/>
      <c r="L2704" s="1"/>
      <c r="M2704" s="1"/>
      <c r="O2704" s="2"/>
      <c r="P2704" s="2"/>
    </row>
    <row r="2705" spans="1:16" x14ac:dyDescent="0.25">
      <c r="A2705" s="2"/>
      <c r="B2705" s="2"/>
      <c r="F2705" s="1"/>
      <c r="G2705" s="1"/>
      <c r="I2705" s="1"/>
      <c r="J2705" s="1"/>
      <c r="L2705" s="1"/>
      <c r="M2705" s="1"/>
      <c r="O2705" s="2"/>
      <c r="P2705" s="2"/>
    </row>
    <row r="2706" spans="1:16" x14ac:dyDescent="0.25">
      <c r="A2706" s="2"/>
      <c r="B2706" s="2"/>
      <c r="F2706" s="1"/>
      <c r="G2706" s="1"/>
      <c r="I2706" s="1"/>
      <c r="J2706" s="1"/>
      <c r="L2706" s="1"/>
      <c r="M2706" s="1"/>
      <c r="O2706" s="2"/>
      <c r="P2706" s="2"/>
    </row>
    <row r="2707" spans="1:16" x14ac:dyDescent="0.25">
      <c r="A2707" s="2"/>
      <c r="B2707" s="2"/>
      <c r="F2707" s="1"/>
      <c r="G2707" s="1"/>
      <c r="I2707" s="1"/>
      <c r="J2707" s="1"/>
      <c r="L2707" s="1"/>
      <c r="M2707" s="1"/>
      <c r="O2707" s="2"/>
      <c r="P2707" s="2"/>
    </row>
    <row r="2708" spans="1:16" x14ac:dyDescent="0.25">
      <c r="A2708" s="2"/>
      <c r="B2708" s="2"/>
      <c r="F2708" s="1"/>
      <c r="G2708" s="1"/>
      <c r="I2708" s="1"/>
      <c r="J2708" s="1"/>
      <c r="L2708" s="1"/>
      <c r="M2708" s="1"/>
      <c r="O2708" s="2"/>
      <c r="P2708" s="2"/>
    </row>
    <row r="2709" spans="1:16" x14ac:dyDescent="0.25">
      <c r="A2709" s="2"/>
      <c r="B2709" s="2"/>
      <c r="F2709" s="1"/>
      <c r="G2709" s="1"/>
      <c r="I2709" s="1"/>
      <c r="J2709" s="1"/>
      <c r="L2709" s="1"/>
      <c r="M2709" s="1"/>
      <c r="O2709" s="2"/>
      <c r="P2709" s="2"/>
    </row>
    <row r="2710" spans="1:16" x14ac:dyDescent="0.25">
      <c r="A2710" s="2"/>
      <c r="B2710" s="2"/>
      <c r="F2710" s="1"/>
      <c r="G2710" s="1"/>
      <c r="I2710" s="1"/>
      <c r="J2710" s="1"/>
      <c r="L2710" s="1"/>
      <c r="M2710" s="1"/>
      <c r="O2710" s="2"/>
      <c r="P2710" s="2"/>
    </row>
    <row r="2711" spans="1:16" x14ac:dyDescent="0.25">
      <c r="A2711" s="2"/>
      <c r="B2711" s="2"/>
      <c r="F2711" s="1"/>
      <c r="G2711" s="1"/>
      <c r="I2711" s="1"/>
      <c r="J2711" s="1"/>
      <c r="L2711" s="1"/>
      <c r="M2711" s="1"/>
      <c r="O2711" s="2"/>
      <c r="P2711" s="2"/>
    </row>
    <row r="2712" spans="1:16" x14ac:dyDescent="0.25">
      <c r="A2712" s="2"/>
      <c r="B2712" s="2"/>
      <c r="F2712" s="1"/>
      <c r="G2712" s="1"/>
      <c r="I2712" s="1"/>
      <c r="J2712" s="1"/>
      <c r="L2712" s="1"/>
      <c r="M2712" s="1"/>
      <c r="O2712" s="2"/>
      <c r="P2712" s="2"/>
    </row>
    <row r="2713" spans="1:16" x14ac:dyDescent="0.25">
      <c r="A2713" s="2"/>
      <c r="B2713" s="2"/>
      <c r="F2713" s="1"/>
      <c r="G2713" s="1"/>
      <c r="I2713" s="1"/>
      <c r="J2713" s="1"/>
      <c r="L2713" s="1"/>
      <c r="M2713" s="1"/>
      <c r="O2713" s="2"/>
      <c r="P2713" s="2"/>
    </row>
    <row r="2714" spans="1:16" x14ac:dyDescent="0.25">
      <c r="A2714" s="2"/>
      <c r="B2714" s="2"/>
      <c r="F2714" s="1"/>
      <c r="G2714" s="1"/>
      <c r="I2714" s="1"/>
      <c r="J2714" s="1"/>
      <c r="L2714" s="1"/>
      <c r="M2714" s="1"/>
      <c r="O2714" s="2"/>
      <c r="P2714" s="2"/>
    </row>
    <row r="2715" spans="1:16" x14ac:dyDescent="0.25">
      <c r="A2715" s="2"/>
      <c r="B2715" s="2"/>
      <c r="F2715" s="1"/>
      <c r="G2715" s="1"/>
      <c r="I2715" s="1"/>
      <c r="J2715" s="1"/>
      <c r="L2715" s="1"/>
      <c r="M2715" s="1"/>
      <c r="O2715" s="2"/>
      <c r="P2715" s="2"/>
    </row>
    <row r="2716" spans="1:16" x14ac:dyDescent="0.25">
      <c r="A2716" s="2"/>
      <c r="B2716" s="2"/>
      <c r="F2716" s="1"/>
      <c r="G2716" s="1"/>
      <c r="I2716" s="1"/>
      <c r="J2716" s="1"/>
      <c r="L2716" s="1"/>
      <c r="M2716" s="1"/>
      <c r="O2716" s="2"/>
      <c r="P2716" s="2"/>
    </row>
    <row r="2717" spans="1:16" x14ac:dyDescent="0.25">
      <c r="A2717" s="2"/>
      <c r="B2717" s="2"/>
      <c r="F2717" s="1"/>
      <c r="G2717" s="1"/>
      <c r="I2717" s="1"/>
      <c r="J2717" s="1"/>
      <c r="L2717" s="1"/>
      <c r="M2717" s="1"/>
      <c r="O2717" s="2"/>
      <c r="P2717" s="2"/>
    </row>
    <row r="2718" spans="1:16" x14ac:dyDescent="0.25">
      <c r="A2718" s="2"/>
      <c r="B2718" s="2"/>
      <c r="F2718" s="1"/>
      <c r="G2718" s="1"/>
      <c r="I2718" s="1"/>
      <c r="J2718" s="1"/>
      <c r="L2718" s="1"/>
      <c r="M2718" s="1"/>
      <c r="O2718" s="2"/>
      <c r="P2718" s="2"/>
    </row>
    <row r="2719" spans="1:16" x14ac:dyDescent="0.25">
      <c r="A2719" s="2"/>
      <c r="B2719" s="2"/>
      <c r="F2719" s="1"/>
      <c r="G2719" s="1"/>
      <c r="I2719" s="1"/>
      <c r="J2719" s="1"/>
      <c r="L2719" s="1"/>
      <c r="M2719" s="1"/>
      <c r="O2719" s="2"/>
      <c r="P2719" s="2"/>
    </row>
    <row r="2720" spans="1:16" x14ac:dyDescent="0.25">
      <c r="A2720" s="2"/>
      <c r="B2720" s="2"/>
      <c r="F2720" s="1"/>
      <c r="G2720" s="1"/>
      <c r="I2720" s="1"/>
      <c r="J2720" s="1"/>
      <c r="L2720" s="1"/>
      <c r="M2720" s="1"/>
      <c r="O2720" s="2"/>
      <c r="P2720" s="2"/>
    </row>
    <row r="2721" spans="1:16" x14ac:dyDescent="0.25">
      <c r="A2721" s="2"/>
      <c r="B2721" s="2"/>
      <c r="F2721" s="1"/>
      <c r="G2721" s="1"/>
      <c r="I2721" s="1"/>
      <c r="J2721" s="1"/>
      <c r="L2721" s="1"/>
      <c r="M2721" s="1"/>
      <c r="O2721" s="2"/>
      <c r="P2721" s="2"/>
    </row>
    <row r="2722" spans="1:16" x14ac:dyDescent="0.25">
      <c r="A2722" s="2"/>
      <c r="B2722" s="2"/>
      <c r="F2722" s="1"/>
      <c r="G2722" s="1"/>
      <c r="I2722" s="1"/>
      <c r="J2722" s="1"/>
      <c r="L2722" s="1"/>
      <c r="M2722" s="1"/>
      <c r="O2722" s="2"/>
      <c r="P2722" s="2"/>
    </row>
    <row r="2723" spans="1:16" x14ac:dyDescent="0.25">
      <c r="A2723" s="2"/>
      <c r="B2723" s="2"/>
      <c r="F2723" s="1"/>
      <c r="G2723" s="1"/>
      <c r="I2723" s="1"/>
      <c r="J2723" s="1"/>
      <c r="L2723" s="1"/>
      <c r="M2723" s="1"/>
      <c r="O2723" s="2"/>
      <c r="P2723" s="2"/>
    </row>
    <row r="2724" spans="1:16" x14ac:dyDescent="0.25">
      <c r="A2724" s="2"/>
      <c r="B2724" s="2"/>
      <c r="F2724" s="1"/>
      <c r="G2724" s="1"/>
      <c r="I2724" s="1"/>
      <c r="J2724" s="1"/>
      <c r="L2724" s="1"/>
      <c r="M2724" s="1"/>
      <c r="O2724" s="2"/>
      <c r="P2724" s="2"/>
    </row>
    <row r="2725" spans="1:16" x14ac:dyDescent="0.25">
      <c r="A2725" s="2"/>
      <c r="B2725" s="2"/>
      <c r="F2725" s="1"/>
      <c r="G2725" s="1"/>
      <c r="I2725" s="1"/>
      <c r="J2725" s="1"/>
      <c r="L2725" s="1"/>
      <c r="M2725" s="1"/>
      <c r="O2725" s="2"/>
      <c r="P2725" s="2"/>
    </row>
    <row r="2726" spans="1:16" x14ac:dyDescent="0.25">
      <c r="A2726" s="2"/>
      <c r="B2726" s="2"/>
      <c r="F2726" s="1"/>
      <c r="G2726" s="1"/>
      <c r="I2726" s="1"/>
      <c r="J2726" s="1"/>
      <c r="L2726" s="1"/>
      <c r="M2726" s="1"/>
      <c r="O2726" s="2"/>
      <c r="P2726" s="2"/>
    </row>
    <row r="2727" spans="1:16" x14ac:dyDescent="0.25">
      <c r="A2727" s="2"/>
      <c r="B2727" s="2"/>
      <c r="F2727" s="1"/>
      <c r="G2727" s="1"/>
      <c r="I2727" s="1"/>
      <c r="J2727" s="1"/>
      <c r="L2727" s="1"/>
      <c r="M2727" s="1"/>
      <c r="O2727" s="2"/>
      <c r="P2727" s="2"/>
    </row>
    <row r="2728" spans="1:16" x14ac:dyDescent="0.25">
      <c r="A2728" s="2"/>
      <c r="B2728" s="2"/>
      <c r="F2728" s="1"/>
      <c r="G2728" s="1"/>
      <c r="I2728" s="1"/>
      <c r="J2728" s="1"/>
      <c r="L2728" s="1"/>
      <c r="M2728" s="1"/>
      <c r="O2728" s="2"/>
      <c r="P2728" s="2"/>
    </row>
    <row r="2729" spans="1:16" x14ac:dyDescent="0.25">
      <c r="A2729" s="2"/>
      <c r="B2729" s="2"/>
      <c r="F2729" s="1"/>
      <c r="G2729" s="1"/>
      <c r="I2729" s="1"/>
      <c r="J2729" s="1"/>
      <c r="L2729" s="1"/>
      <c r="M2729" s="1"/>
      <c r="O2729" s="2"/>
      <c r="P2729" s="2"/>
    </row>
    <row r="2730" spans="1:16" x14ac:dyDescent="0.25">
      <c r="A2730" s="2"/>
      <c r="B2730" s="2"/>
      <c r="F2730" s="1"/>
      <c r="G2730" s="1"/>
      <c r="I2730" s="1"/>
      <c r="J2730" s="1"/>
      <c r="L2730" s="1"/>
      <c r="M2730" s="1"/>
      <c r="O2730" s="2"/>
      <c r="P2730" s="2"/>
    </row>
    <row r="2731" spans="1:16" x14ac:dyDescent="0.25">
      <c r="A2731" s="2"/>
      <c r="B2731" s="2"/>
      <c r="F2731" s="1"/>
      <c r="G2731" s="1"/>
      <c r="I2731" s="1"/>
      <c r="J2731" s="1"/>
      <c r="L2731" s="1"/>
      <c r="M2731" s="1"/>
      <c r="O2731" s="2"/>
      <c r="P2731" s="2"/>
    </row>
    <row r="2732" spans="1:16" x14ac:dyDescent="0.25">
      <c r="A2732" s="2"/>
      <c r="B2732" s="2"/>
      <c r="F2732" s="1"/>
      <c r="G2732" s="1"/>
      <c r="I2732" s="1"/>
      <c r="J2732" s="1"/>
      <c r="L2732" s="1"/>
      <c r="M2732" s="1"/>
      <c r="O2732" s="2"/>
      <c r="P2732" s="2"/>
    </row>
    <row r="2733" spans="1:16" x14ac:dyDescent="0.25">
      <c r="A2733" s="2"/>
      <c r="B2733" s="2"/>
      <c r="F2733" s="1"/>
      <c r="G2733" s="1"/>
      <c r="I2733" s="1"/>
      <c r="J2733" s="1"/>
      <c r="L2733" s="1"/>
      <c r="M2733" s="1"/>
      <c r="O2733" s="2"/>
      <c r="P2733" s="2"/>
    </row>
    <row r="2734" spans="1:16" x14ac:dyDescent="0.25">
      <c r="A2734" s="2"/>
      <c r="B2734" s="2"/>
      <c r="F2734" s="1"/>
      <c r="G2734" s="1"/>
      <c r="I2734" s="1"/>
      <c r="J2734" s="1"/>
      <c r="L2734" s="1"/>
      <c r="M2734" s="1"/>
      <c r="O2734" s="2"/>
      <c r="P2734" s="2"/>
    </row>
    <row r="2735" spans="1:16" x14ac:dyDescent="0.25">
      <c r="A2735" s="2"/>
      <c r="B2735" s="2"/>
      <c r="F2735" s="1"/>
      <c r="G2735" s="1"/>
      <c r="I2735" s="1"/>
      <c r="J2735" s="1"/>
      <c r="L2735" s="1"/>
      <c r="M2735" s="1"/>
      <c r="O2735" s="2"/>
      <c r="P2735" s="2"/>
    </row>
    <row r="2736" spans="1:16" x14ac:dyDescent="0.25">
      <c r="A2736" s="2"/>
      <c r="B2736" s="2"/>
      <c r="F2736" s="1"/>
      <c r="G2736" s="1"/>
      <c r="I2736" s="1"/>
      <c r="J2736" s="1"/>
      <c r="L2736" s="1"/>
      <c r="M2736" s="1"/>
      <c r="O2736" s="2"/>
      <c r="P2736" s="2"/>
    </row>
    <row r="2737" spans="1:16" x14ac:dyDescent="0.25">
      <c r="A2737" s="2"/>
      <c r="B2737" s="2"/>
      <c r="F2737" s="1"/>
      <c r="G2737" s="1"/>
      <c r="I2737" s="1"/>
      <c r="J2737" s="1"/>
      <c r="L2737" s="1"/>
      <c r="M2737" s="1"/>
      <c r="O2737" s="2"/>
      <c r="P2737" s="2"/>
    </row>
    <row r="2738" spans="1:16" x14ac:dyDescent="0.25">
      <c r="A2738" s="2"/>
      <c r="B2738" s="2"/>
      <c r="F2738" s="1"/>
      <c r="G2738" s="1"/>
      <c r="I2738" s="1"/>
      <c r="J2738" s="1"/>
      <c r="L2738" s="1"/>
      <c r="M2738" s="1"/>
      <c r="O2738" s="2"/>
      <c r="P2738" s="2"/>
    </row>
    <row r="2739" spans="1:16" x14ac:dyDescent="0.25">
      <c r="A2739" s="2"/>
      <c r="B2739" s="2"/>
      <c r="F2739" s="1"/>
      <c r="G2739" s="1"/>
      <c r="I2739" s="1"/>
      <c r="J2739" s="1"/>
      <c r="L2739" s="1"/>
      <c r="M2739" s="1"/>
      <c r="O2739" s="2"/>
      <c r="P2739" s="2"/>
    </row>
    <row r="2740" spans="1:16" x14ac:dyDescent="0.25">
      <c r="A2740" s="2"/>
      <c r="B2740" s="2"/>
      <c r="F2740" s="1"/>
      <c r="G2740" s="1"/>
      <c r="I2740" s="1"/>
      <c r="J2740" s="1"/>
      <c r="L2740" s="1"/>
      <c r="M2740" s="1"/>
      <c r="O2740" s="2"/>
      <c r="P2740" s="2"/>
    </row>
    <row r="2741" spans="1:16" x14ac:dyDescent="0.25">
      <c r="A2741" s="2"/>
      <c r="B2741" s="2"/>
      <c r="F2741" s="1"/>
      <c r="G2741" s="1"/>
      <c r="I2741" s="1"/>
      <c r="J2741" s="1"/>
      <c r="L2741" s="1"/>
      <c r="M2741" s="1"/>
      <c r="O2741" s="2"/>
      <c r="P2741" s="2"/>
    </row>
    <row r="2742" spans="1:16" x14ac:dyDescent="0.25">
      <c r="A2742" s="2"/>
      <c r="B2742" s="2"/>
      <c r="F2742" s="1"/>
      <c r="G2742" s="1"/>
      <c r="I2742" s="1"/>
      <c r="J2742" s="1"/>
      <c r="L2742" s="1"/>
      <c r="M2742" s="1"/>
      <c r="O2742" s="2"/>
      <c r="P2742" s="2"/>
    </row>
    <row r="2743" spans="1:16" x14ac:dyDescent="0.25">
      <c r="A2743" s="2"/>
      <c r="B2743" s="2"/>
      <c r="F2743" s="1"/>
      <c r="G2743" s="1"/>
      <c r="I2743" s="1"/>
      <c r="J2743" s="1"/>
      <c r="L2743" s="1"/>
      <c r="M2743" s="1"/>
      <c r="O2743" s="2"/>
      <c r="P2743" s="2"/>
    </row>
    <row r="2744" spans="1:16" x14ac:dyDescent="0.25">
      <c r="A2744" s="2"/>
      <c r="B2744" s="2"/>
      <c r="F2744" s="1"/>
      <c r="G2744" s="1"/>
      <c r="I2744" s="1"/>
      <c r="J2744" s="1"/>
      <c r="L2744" s="1"/>
      <c r="M2744" s="1"/>
      <c r="O2744" s="2"/>
      <c r="P2744" s="2"/>
    </row>
    <row r="2745" spans="1:16" x14ac:dyDescent="0.25">
      <c r="A2745" s="2"/>
      <c r="B2745" s="2"/>
      <c r="F2745" s="1"/>
      <c r="G2745" s="1"/>
      <c r="I2745" s="1"/>
      <c r="J2745" s="1"/>
      <c r="L2745" s="1"/>
      <c r="M2745" s="1"/>
      <c r="O2745" s="2"/>
      <c r="P2745" s="2"/>
    </row>
    <row r="2746" spans="1:16" x14ac:dyDescent="0.25">
      <c r="A2746" s="2"/>
      <c r="B2746" s="2"/>
      <c r="F2746" s="1"/>
      <c r="G2746" s="1"/>
      <c r="I2746" s="1"/>
      <c r="J2746" s="1"/>
      <c r="L2746" s="1"/>
      <c r="M2746" s="1"/>
      <c r="O2746" s="2"/>
      <c r="P2746" s="2"/>
    </row>
    <row r="2747" spans="1:16" x14ac:dyDescent="0.25">
      <c r="A2747" s="2"/>
      <c r="B2747" s="2"/>
      <c r="F2747" s="1"/>
      <c r="G2747" s="1"/>
      <c r="I2747" s="1"/>
      <c r="J2747" s="1"/>
      <c r="L2747" s="1"/>
      <c r="M2747" s="1"/>
      <c r="O2747" s="2"/>
      <c r="P2747" s="2"/>
    </row>
    <row r="2748" spans="1:16" x14ac:dyDescent="0.25">
      <c r="A2748" s="2"/>
      <c r="B2748" s="2"/>
      <c r="F2748" s="1"/>
      <c r="G2748" s="1"/>
      <c r="I2748" s="1"/>
      <c r="J2748" s="1"/>
      <c r="L2748" s="1"/>
      <c r="M2748" s="1"/>
      <c r="O2748" s="2"/>
      <c r="P2748" s="2"/>
    </row>
    <row r="2749" spans="1:16" x14ac:dyDescent="0.25">
      <c r="A2749" s="2"/>
      <c r="B2749" s="2"/>
      <c r="F2749" s="1"/>
      <c r="G2749" s="1"/>
      <c r="I2749" s="1"/>
      <c r="J2749" s="1"/>
      <c r="L2749" s="1"/>
      <c r="M2749" s="1"/>
      <c r="O2749" s="2"/>
      <c r="P2749" s="2"/>
    </row>
    <row r="2750" spans="1:16" x14ac:dyDescent="0.25">
      <c r="A2750" s="2"/>
      <c r="B2750" s="2"/>
      <c r="F2750" s="1"/>
      <c r="G2750" s="1"/>
      <c r="I2750" s="1"/>
      <c r="J2750" s="1"/>
      <c r="L2750" s="1"/>
      <c r="M2750" s="1"/>
      <c r="O2750" s="2"/>
      <c r="P2750" s="2"/>
    </row>
    <row r="2751" spans="1:16" x14ac:dyDescent="0.25">
      <c r="A2751" s="2"/>
      <c r="B2751" s="2"/>
      <c r="F2751" s="1"/>
      <c r="G2751" s="1"/>
      <c r="I2751" s="1"/>
      <c r="J2751" s="1"/>
      <c r="L2751" s="1"/>
      <c r="M2751" s="1"/>
      <c r="O2751" s="2"/>
      <c r="P2751" s="2"/>
    </row>
    <row r="2752" spans="1:16" x14ac:dyDescent="0.25">
      <c r="A2752" s="2"/>
      <c r="B2752" s="2"/>
      <c r="F2752" s="1"/>
      <c r="G2752" s="1"/>
      <c r="I2752" s="1"/>
      <c r="J2752" s="1"/>
      <c r="L2752" s="1"/>
      <c r="M2752" s="1"/>
      <c r="O2752" s="2"/>
      <c r="P2752" s="2"/>
    </row>
    <row r="2753" spans="1:16" x14ac:dyDescent="0.25">
      <c r="A2753" s="2"/>
      <c r="B2753" s="2"/>
      <c r="F2753" s="1"/>
      <c r="G2753" s="1"/>
      <c r="I2753" s="1"/>
      <c r="J2753" s="1"/>
      <c r="L2753" s="1"/>
      <c r="M2753" s="1"/>
      <c r="O2753" s="2"/>
      <c r="P2753" s="2"/>
    </row>
    <row r="2754" spans="1:16" x14ac:dyDescent="0.25">
      <c r="A2754" s="2"/>
      <c r="B2754" s="2"/>
      <c r="F2754" s="1"/>
      <c r="G2754" s="1"/>
      <c r="I2754" s="1"/>
      <c r="J2754" s="1"/>
      <c r="L2754" s="1"/>
      <c r="M2754" s="1"/>
      <c r="O2754" s="2"/>
      <c r="P2754" s="2"/>
    </row>
    <row r="2755" spans="1:16" x14ac:dyDescent="0.25">
      <c r="A2755" s="2"/>
      <c r="B2755" s="2"/>
      <c r="F2755" s="1"/>
      <c r="G2755" s="1"/>
      <c r="I2755" s="1"/>
      <c r="J2755" s="1"/>
      <c r="L2755" s="1"/>
      <c r="M2755" s="1"/>
      <c r="O2755" s="2"/>
      <c r="P2755" s="2"/>
    </row>
    <row r="2756" spans="1:16" x14ac:dyDescent="0.25">
      <c r="A2756" s="2"/>
      <c r="B2756" s="2"/>
      <c r="F2756" s="1"/>
      <c r="G2756" s="1"/>
      <c r="I2756" s="1"/>
      <c r="J2756" s="1"/>
      <c r="L2756" s="1"/>
      <c r="M2756" s="1"/>
      <c r="O2756" s="2"/>
      <c r="P2756" s="2"/>
    </row>
    <row r="2757" spans="1:16" x14ac:dyDescent="0.25">
      <c r="A2757" s="2"/>
      <c r="B2757" s="2"/>
      <c r="F2757" s="1"/>
      <c r="G2757" s="1"/>
      <c r="I2757" s="1"/>
      <c r="J2757" s="1"/>
      <c r="L2757" s="1"/>
      <c r="M2757" s="1"/>
      <c r="O2757" s="2"/>
      <c r="P2757" s="2"/>
    </row>
    <row r="2758" spans="1:16" x14ac:dyDescent="0.25">
      <c r="A2758" s="2"/>
      <c r="B2758" s="2"/>
      <c r="F2758" s="1"/>
      <c r="G2758" s="1"/>
      <c r="I2758" s="1"/>
      <c r="J2758" s="1"/>
      <c r="L2758" s="1"/>
      <c r="M2758" s="1"/>
      <c r="O2758" s="2"/>
      <c r="P2758" s="2"/>
    </row>
    <row r="2759" spans="1:16" x14ac:dyDescent="0.25">
      <c r="A2759" s="2"/>
      <c r="B2759" s="2"/>
      <c r="F2759" s="1"/>
      <c r="G2759" s="1"/>
      <c r="I2759" s="1"/>
      <c r="J2759" s="1"/>
      <c r="L2759" s="1"/>
      <c r="M2759" s="1"/>
      <c r="O2759" s="2"/>
      <c r="P2759" s="2"/>
    </row>
    <row r="2760" spans="1:16" x14ac:dyDescent="0.25">
      <c r="A2760" s="2"/>
      <c r="B2760" s="2"/>
      <c r="F2760" s="1"/>
      <c r="G2760" s="1"/>
      <c r="I2760" s="1"/>
      <c r="J2760" s="1"/>
      <c r="L2760" s="1"/>
      <c r="M2760" s="1"/>
      <c r="O2760" s="2"/>
      <c r="P2760" s="2"/>
    </row>
    <row r="2761" spans="1:16" x14ac:dyDescent="0.25">
      <c r="A2761" s="2"/>
      <c r="B2761" s="2"/>
      <c r="F2761" s="1"/>
      <c r="G2761" s="1"/>
      <c r="I2761" s="1"/>
      <c r="J2761" s="1"/>
      <c r="L2761" s="1"/>
      <c r="M2761" s="1"/>
      <c r="O2761" s="2"/>
      <c r="P2761" s="2"/>
    </row>
    <row r="2762" spans="1:16" x14ac:dyDescent="0.25">
      <c r="A2762" s="2"/>
      <c r="B2762" s="2"/>
      <c r="F2762" s="1"/>
      <c r="G2762" s="1"/>
      <c r="I2762" s="1"/>
      <c r="J2762" s="1"/>
      <c r="L2762" s="1"/>
      <c r="M2762" s="1"/>
      <c r="O2762" s="2"/>
      <c r="P2762" s="2"/>
    </row>
    <row r="2763" spans="1:16" x14ac:dyDescent="0.25">
      <c r="A2763" s="2"/>
      <c r="B2763" s="2"/>
      <c r="F2763" s="1"/>
      <c r="G2763" s="1"/>
      <c r="I2763" s="1"/>
      <c r="J2763" s="1"/>
      <c r="L2763" s="1"/>
      <c r="M2763" s="1"/>
      <c r="O2763" s="2"/>
      <c r="P2763" s="2"/>
    </row>
    <row r="2764" spans="1:16" x14ac:dyDescent="0.25">
      <c r="A2764" s="2"/>
      <c r="B2764" s="2"/>
      <c r="F2764" s="1"/>
      <c r="G2764" s="1"/>
      <c r="I2764" s="1"/>
      <c r="J2764" s="1"/>
      <c r="L2764" s="1"/>
      <c r="M2764" s="1"/>
      <c r="O2764" s="2"/>
      <c r="P2764" s="2"/>
    </row>
    <row r="2765" spans="1:16" x14ac:dyDescent="0.25">
      <c r="A2765" s="2"/>
      <c r="B2765" s="2"/>
      <c r="F2765" s="1"/>
      <c r="G2765" s="1"/>
      <c r="I2765" s="1"/>
      <c r="J2765" s="1"/>
      <c r="L2765" s="1"/>
      <c r="M2765" s="1"/>
      <c r="O2765" s="2"/>
      <c r="P2765" s="2"/>
    </row>
    <row r="2766" spans="1:16" x14ac:dyDescent="0.25">
      <c r="A2766" s="2"/>
      <c r="B2766" s="2"/>
      <c r="F2766" s="1"/>
      <c r="G2766" s="1"/>
      <c r="I2766" s="1"/>
      <c r="J2766" s="1"/>
      <c r="L2766" s="1"/>
      <c r="M2766" s="1"/>
      <c r="O2766" s="2"/>
      <c r="P2766" s="2"/>
    </row>
    <row r="2767" spans="1:16" x14ac:dyDescent="0.25">
      <c r="A2767" s="2"/>
      <c r="B2767" s="2"/>
      <c r="F2767" s="1"/>
      <c r="G2767" s="1"/>
      <c r="I2767" s="1"/>
      <c r="J2767" s="1"/>
      <c r="L2767" s="1"/>
      <c r="M2767" s="1"/>
      <c r="O2767" s="2"/>
      <c r="P2767" s="2"/>
    </row>
    <row r="2768" spans="1:16" x14ac:dyDescent="0.25">
      <c r="A2768" s="2"/>
      <c r="B2768" s="2"/>
      <c r="F2768" s="1"/>
      <c r="G2768" s="1"/>
      <c r="I2768" s="1"/>
      <c r="J2768" s="1"/>
      <c r="L2768" s="1"/>
      <c r="M2768" s="1"/>
      <c r="O2768" s="2"/>
      <c r="P2768" s="2"/>
    </row>
    <row r="2769" spans="1:16" x14ac:dyDescent="0.25">
      <c r="A2769" s="2"/>
      <c r="B2769" s="2"/>
      <c r="F2769" s="1"/>
      <c r="G2769" s="1"/>
      <c r="I2769" s="1"/>
      <c r="J2769" s="1"/>
      <c r="L2769" s="1"/>
      <c r="M2769" s="1"/>
      <c r="O2769" s="2"/>
      <c r="P2769" s="2"/>
    </row>
    <row r="2770" spans="1:16" x14ac:dyDescent="0.25">
      <c r="A2770" s="2"/>
      <c r="B2770" s="2"/>
      <c r="F2770" s="1"/>
      <c r="G2770" s="1"/>
      <c r="I2770" s="1"/>
      <c r="J2770" s="1"/>
      <c r="L2770" s="1"/>
      <c r="M2770" s="1"/>
      <c r="O2770" s="2"/>
      <c r="P2770" s="2"/>
    </row>
    <row r="2771" spans="1:16" x14ac:dyDescent="0.25">
      <c r="A2771" s="2"/>
      <c r="B2771" s="2"/>
      <c r="F2771" s="1"/>
      <c r="G2771" s="1"/>
      <c r="I2771" s="1"/>
      <c r="J2771" s="1"/>
      <c r="L2771" s="1"/>
      <c r="M2771" s="1"/>
      <c r="O2771" s="2"/>
      <c r="P2771" s="2"/>
    </row>
    <row r="2772" spans="1:16" x14ac:dyDescent="0.25">
      <c r="A2772" s="2"/>
      <c r="B2772" s="2"/>
      <c r="F2772" s="1"/>
      <c r="G2772" s="1"/>
      <c r="I2772" s="1"/>
      <c r="J2772" s="1"/>
      <c r="L2772" s="1"/>
      <c r="M2772" s="1"/>
      <c r="O2772" s="2"/>
      <c r="P2772" s="2"/>
    </row>
    <row r="2773" spans="1:16" x14ac:dyDescent="0.25">
      <c r="A2773" s="2"/>
      <c r="B2773" s="2"/>
      <c r="F2773" s="1"/>
      <c r="G2773" s="1"/>
      <c r="I2773" s="1"/>
      <c r="J2773" s="1"/>
      <c r="L2773" s="1"/>
      <c r="M2773" s="1"/>
      <c r="O2773" s="2"/>
      <c r="P2773" s="2"/>
    </row>
    <row r="2774" spans="1:16" x14ac:dyDescent="0.25">
      <c r="A2774" s="2"/>
      <c r="B2774" s="2"/>
      <c r="F2774" s="1"/>
      <c r="G2774" s="1"/>
      <c r="I2774" s="1"/>
      <c r="J2774" s="1"/>
      <c r="L2774" s="1"/>
      <c r="M2774" s="1"/>
      <c r="O2774" s="2"/>
      <c r="P2774" s="2"/>
    </row>
    <row r="2775" spans="1:16" x14ac:dyDescent="0.25">
      <c r="A2775" s="2"/>
      <c r="B2775" s="2"/>
      <c r="F2775" s="1"/>
      <c r="G2775" s="1"/>
      <c r="I2775" s="1"/>
      <c r="J2775" s="1"/>
      <c r="L2775" s="1"/>
      <c r="M2775" s="1"/>
      <c r="O2775" s="2"/>
      <c r="P2775" s="2"/>
    </row>
    <row r="2776" spans="1:16" x14ac:dyDescent="0.25">
      <c r="A2776" s="2"/>
      <c r="B2776" s="2"/>
      <c r="F2776" s="1"/>
      <c r="G2776" s="1"/>
      <c r="I2776" s="1"/>
      <c r="J2776" s="1"/>
      <c r="L2776" s="1"/>
      <c r="M2776" s="1"/>
      <c r="O2776" s="2"/>
      <c r="P2776" s="2"/>
    </row>
    <row r="2777" spans="1:16" x14ac:dyDescent="0.25">
      <c r="A2777" s="2"/>
      <c r="B2777" s="2"/>
      <c r="F2777" s="1"/>
      <c r="G2777" s="1"/>
      <c r="I2777" s="1"/>
      <c r="J2777" s="1"/>
      <c r="L2777" s="1"/>
      <c r="M2777" s="1"/>
      <c r="O2777" s="2"/>
      <c r="P2777" s="2"/>
    </row>
    <row r="2778" spans="1:16" x14ac:dyDescent="0.25">
      <c r="A2778" s="2"/>
      <c r="B2778" s="2"/>
      <c r="F2778" s="1"/>
      <c r="G2778" s="1"/>
      <c r="I2778" s="1"/>
      <c r="J2778" s="1"/>
      <c r="L2778" s="1"/>
      <c r="M2778" s="1"/>
      <c r="O2778" s="2"/>
      <c r="P2778" s="2"/>
    </row>
    <row r="2779" spans="1:16" x14ac:dyDescent="0.25">
      <c r="A2779" s="2"/>
      <c r="B2779" s="2"/>
      <c r="F2779" s="1"/>
      <c r="G2779" s="1"/>
      <c r="I2779" s="1"/>
      <c r="J2779" s="1"/>
      <c r="L2779" s="1"/>
      <c r="M2779" s="1"/>
      <c r="O2779" s="2"/>
      <c r="P2779" s="2"/>
    </row>
    <row r="2780" spans="1:16" x14ac:dyDescent="0.25">
      <c r="A2780" s="2"/>
      <c r="B2780" s="2"/>
      <c r="F2780" s="1"/>
      <c r="G2780" s="1"/>
      <c r="I2780" s="1"/>
      <c r="J2780" s="1"/>
      <c r="L2780" s="1"/>
      <c r="M2780" s="1"/>
      <c r="O2780" s="2"/>
      <c r="P2780" s="2"/>
    </row>
    <row r="2781" spans="1:16" x14ac:dyDescent="0.25">
      <c r="A2781" s="2"/>
      <c r="B2781" s="2"/>
      <c r="F2781" s="1"/>
      <c r="G2781" s="1"/>
      <c r="I2781" s="1"/>
      <c r="J2781" s="1"/>
      <c r="L2781" s="1"/>
      <c r="M2781" s="1"/>
      <c r="O2781" s="2"/>
      <c r="P2781" s="2"/>
    </row>
    <row r="2782" spans="1:16" x14ac:dyDescent="0.25">
      <c r="A2782" s="2"/>
      <c r="B2782" s="2"/>
      <c r="F2782" s="1"/>
      <c r="G2782" s="1"/>
      <c r="I2782" s="1"/>
      <c r="J2782" s="1"/>
      <c r="L2782" s="1"/>
      <c r="M2782" s="1"/>
      <c r="O2782" s="2"/>
      <c r="P2782" s="2"/>
    </row>
    <row r="2783" spans="1:16" x14ac:dyDescent="0.25">
      <c r="A2783" s="2"/>
      <c r="B2783" s="2"/>
      <c r="F2783" s="1"/>
      <c r="G2783" s="1"/>
      <c r="I2783" s="1"/>
      <c r="J2783" s="1"/>
      <c r="L2783" s="1"/>
      <c r="M2783" s="1"/>
      <c r="O2783" s="2"/>
      <c r="P2783" s="2"/>
    </row>
    <row r="2784" spans="1:16" x14ac:dyDescent="0.25">
      <c r="A2784" s="2"/>
      <c r="B2784" s="2"/>
      <c r="F2784" s="1"/>
      <c r="G2784" s="1"/>
      <c r="I2784" s="1"/>
      <c r="J2784" s="1"/>
      <c r="L2784" s="1"/>
      <c r="M2784" s="1"/>
      <c r="O2784" s="2"/>
      <c r="P2784" s="2"/>
    </row>
    <row r="2785" spans="1:16" x14ac:dyDescent="0.25">
      <c r="A2785" s="2"/>
      <c r="B2785" s="2"/>
      <c r="F2785" s="1"/>
      <c r="G2785" s="1"/>
      <c r="I2785" s="1"/>
      <c r="J2785" s="1"/>
      <c r="L2785" s="1"/>
      <c r="M2785" s="1"/>
      <c r="O2785" s="2"/>
      <c r="P2785" s="2"/>
    </row>
    <row r="2786" spans="1:16" x14ac:dyDescent="0.25">
      <c r="A2786" s="2"/>
      <c r="B2786" s="2"/>
      <c r="F2786" s="1"/>
      <c r="G2786" s="1"/>
      <c r="I2786" s="1"/>
      <c r="J2786" s="1"/>
      <c r="L2786" s="1"/>
      <c r="M2786" s="1"/>
      <c r="O2786" s="2"/>
      <c r="P2786" s="2"/>
    </row>
    <row r="2787" spans="1:16" x14ac:dyDescent="0.25">
      <c r="A2787" s="2"/>
      <c r="B2787" s="2"/>
      <c r="F2787" s="1"/>
      <c r="G2787" s="1"/>
      <c r="I2787" s="1"/>
      <c r="J2787" s="1"/>
      <c r="L2787" s="1"/>
      <c r="M2787" s="1"/>
      <c r="O2787" s="2"/>
      <c r="P2787" s="2"/>
    </row>
    <row r="2788" spans="1:16" x14ac:dyDescent="0.25">
      <c r="A2788" s="2"/>
      <c r="B2788" s="2"/>
      <c r="F2788" s="1"/>
      <c r="G2788" s="1"/>
      <c r="I2788" s="1"/>
      <c r="J2788" s="1"/>
      <c r="L2788" s="1"/>
      <c r="M2788" s="1"/>
      <c r="O2788" s="2"/>
      <c r="P2788" s="2"/>
    </row>
    <row r="2789" spans="1:16" x14ac:dyDescent="0.25">
      <c r="A2789" s="2"/>
      <c r="B2789" s="2"/>
      <c r="F2789" s="1"/>
      <c r="G2789" s="1"/>
      <c r="I2789" s="1"/>
      <c r="J2789" s="1"/>
      <c r="L2789" s="1"/>
      <c r="M2789" s="1"/>
      <c r="O2789" s="2"/>
      <c r="P2789" s="2"/>
    </row>
    <row r="2790" spans="1:16" x14ac:dyDescent="0.25">
      <c r="A2790" s="2"/>
      <c r="B2790" s="2"/>
      <c r="F2790" s="1"/>
      <c r="G2790" s="1"/>
      <c r="I2790" s="1"/>
      <c r="J2790" s="1"/>
      <c r="L2790" s="1"/>
      <c r="M2790" s="1"/>
      <c r="O2790" s="2"/>
      <c r="P2790" s="2"/>
    </row>
    <row r="2791" spans="1:16" x14ac:dyDescent="0.25">
      <c r="A2791" s="2"/>
      <c r="B2791" s="2"/>
      <c r="F2791" s="1"/>
      <c r="G2791" s="1"/>
      <c r="I2791" s="1"/>
      <c r="J2791" s="1"/>
      <c r="L2791" s="1"/>
      <c r="M2791" s="1"/>
      <c r="O2791" s="2"/>
      <c r="P2791" s="2"/>
    </row>
    <row r="2792" spans="1:16" x14ac:dyDescent="0.25">
      <c r="A2792" s="2"/>
      <c r="B2792" s="2"/>
      <c r="F2792" s="1"/>
      <c r="G2792" s="1"/>
      <c r="I2792" s="1"/>
      <c r="J2792" s="1"/>
      <c r="L2792" s="1"/>
      <c r="M2792" s="1"/>
      <c r="O2792" s="2"/>
      <c r="P2792" s="2"/>
    </row>
    <row r="2793" spans="1:16" x14ac:dyDescent="0.25">
      <c r="A2793" s="2"/>
      <c r="B2793" s="2"/>
      <c r="F2793" s="1"/>
      <c r="G2793" s="1"/>
      <c r="I2793" s="1"/>
      <c r="J2793" s="1"/>
      <c r="L2793" s="1"/>
      <c r="M2793" s="1"/>
      <c r="O2793" s="2"/>
      <c r="P2793" s="2"/>
    </row>
    <row r="2794" spans="1:16" x14ac:dyDescent="0.25">
      <c r="A2794" s="2"/>
      <c r="B2794" s="2"/>
      <c r="F2794" s="1"/>
      <c r="G2794" s="1"/>
      <c r="I2794" s="1"/>
      <c r="J2794" s="1"/>
      <c r="L2794" s="1"/>
      <c r="M2794" s="1"/>
      <c r="O2794" s="2"/>
      <c r="P2794" s="2"/>
    </row>
    <row r="2795" spans="1:16" x14ac:dyDescent="0.25">
      <c r="A2795" s="2"/>
      <c r="B2795" s="2"/>
      <c r="F2795" s="1"/>
      <c r="G2795" s="1"/>
      <c r="I2795" s="1"/>
      <c r="J2795" s="1"/>
      <c r="L2795" s="1"/>
      <c r="M2795" s="1"/>
      <c r="O2795" s="2"/>
      <c r="P2795" s="2"/>
    </row>
    <row r="2796" spans="1:16" x14ac:dyDescent="0.25">
      <c r="A2796" s="2"/>
      <c r="B2796" s="2"/>
      <c r="F2796" s="1"/>
      <c r="G2796" s="1"/>
      <c r="I2796" s="1"/>
      <c r="J2796" s="1"/>
      <c r="L2796" s="1"/>
      <c r="M2796" s="1"/>
      <c r="O2796" s="2"/>
      <c r="P2796" s="2"/>
    </row>
    <row r="2797" spans="1:16" x14ac:dyDescent="0.25">
      <c r="A2797" s="2"/>
      <c r="B2797" s="2"/>
      <c r="F2797" s="1"/>
      <c r="G2797" s="1"/>
      <c r="I2797" s="1"/>
      <c r="J2797" s="1"/>
      <c r="L2797" s="1"/>
      <c r="M2797" s="1"/>
      <c r="O2797" s="2"/>
      <c r="P2797" s="2"/>
    </row>
    <row r="2798" spans="1:16" x14ac:dyDescent="0.25">
      <c r="A2798" s="2"/>
      <c r="B2798" s="2"/>
      <c r="F2798" s="1"/>
      <c r="G2798" s="1"/>
      <c r="I2798" s="1"/>
      <c r="J2798" s="1"/>
      <c r="L2798" s="1"/>
      <c r="M2798" s="1"/>
      <c r="O2798" s="2"/>
      <c r="P2798" s="2"/>
    </row>
    <row r="2799" spans="1:16" x14ac:dyDescent="0.25">
      <c r="A2799" s="2"/>
      <c r="B2799" s="2"/>
      <c r="F2799" s="1"/>
      <c r="G2799" s="1"/>
      <c r="I2799" s="1"/>
      <c r="J2799" s="1"/>
      <c r="L2799" s="1"/>
      <c r="M2799" s="1"/>
      <c r="O2799" s="2"/>
      <c r="P2799" s="2"/>
    </row>
    <row r="2800" spans="1:16" x14ac:dyDescent="0.25">
      <c r="A2800" s="2"/>
      <c r="B2800" s="2"/>
      <c r="F2800" s="1"/>
      <c r="G2800" s="1"/>
      <c r="I2800" s="1"/>
      <c r="J2800" s="1"/>
      <c r="L2800" s="1"/>
      <c r="M2800" s="1"/>
      <c r="O2800" s="2"/>
      <c r="P2800" s="2"/>
    </row>
    <row r="2801" spans="1:16" x14ac:dyDescent="0.25">
      <c r="A2801" s="2"/>
      <c r="B2801" s="2"/>
      <c r="F2801" s="1"/>
      <c r="G2801" s="1"/>
      <c r="I2801" s="1"/>
      <c r="J2801" s="1"/>
      <c r="L2801" s="1"/>
      <c r="M2801" s="1"/>
      <c r="O2801" s="2"/>
      <c r="P2801" s="2"/>
    </row>
    <row r="2802" spans="1:16" x14ac:dyDescent="0.25">
      <c r="A2802" s="2"/>
      <c r="B2802" s="2"/>
      <c r="F2802" s="1"/>
      <c r="G2802" s="1"/>
      <c r="I2802" s="1"/>
      <c r="J2802" s="1"/>
      <c r="L2802" s="1"/>
      <c r="M2802" s="1"/>
      <c r="O2802" s="2"/>
      <c r="P2802" s="2"/>
    </row>
    <row r="2803" spans="1:16" x14ac:dyDescent="0.25">
      <c r="A2803" s="2"/>
      <c r="B2803" s="2"/>
      <c r="F2803" s="1"/>
      <c r="G2803" s="1"/>
      <c r="I2803" s="1"/>
      <c r="J2803" s="1"/>
      <c r="L2803" s="1"/>
      <c r="M2803" s="1"/>
      <c r="O2803" s="2"/>
      <c r="P2803" s="2"/>
    </row>
    <row r="2804" spans="1:16" x14ac:dyDescent="0.25">
      <c r="A2804" s="2"/>
      <c r="B2804" s="2"/>
      <c r="F2804" s="1"/>
      <c r="G2804" s="1"/>
      <c r="I2804" s="1"/>
      <c r="J2804" s="1"/>
      <c r="L2804" s="1"/>
      <c r="M2804" s="1"/>
      <c r="O2804" s="2"/>
      <c r="P2804" s="2"/>
    </row>
    <row r="2805" spans="1:16" x14ac:dyDescent="0.25">
      <c r="A2805" s="2"/>
      <c r="B2805" s="2"/>
      <c r="F2805" s="1"/>
      <c r="G2805" s="1"/>
      <c r="I2805" s="1"/>
      <c r="J2805" s="1"/>
      <c r="L2805" s="1"/>
      <c r="M2805" s="1"/>
      <c r="O2805" s="2"/>
      <c r="P2805" s="2"/>
    </row>
    <row r="2806" spans="1:16" x14ac:dyDescent="0.25">
      <c r="A2806" s="2"/>
      <c r="B2806" s="2"/>
      <c r="F2806" s="1"/>
      <c r="G2806" s="1"/>
      <c r="I2806" s="1"/>
      <c r="J2806" s="1"/>
      <c r="L2806" s="1"/>
      <c r="M2806" s="1"/>
      <c r="O2806" s="2"/>
      <c r="P2806" s="2"/>
    </row>
    <row r="2807" spans="1:16" x14ac:dyDescent="0.25">
      <c r="A2807" s="2"/>
      <c r="B2807" s="2"/>
      <c r="F2807" s="1"/>
      <c r="G2807" s="1"/>
      <c r="I2807" s="1"/>
      <c r="J2807" s="1"/>
      <c r="L2807" s="1"/>
      <c r="M2807" s="1"/>
      <c r="O2807" s="2"/>
      <c r="P2807" s="2"/>
    </row>
    <row r="2808" spans="1:16" x14ac:dyDescent="0.25">
      <c r="A2808" s="2"/>
      <c r="B2808" s="2"/>
      <c r="F2808" s="1"/>
      <c r="G2808" s="1"/>
      <c r="I2808" s="1"/>
      <c r="J2808" s="1"/>
      <c r="L2808" s="1"/>
      <c r="M2808" s="1"/>
      <c r="O2808" s="2"/>
      <c r="P2808" s="2"/>
    </row>
    <row r="2809" spans="1:16" x14ac:dyDescent="0.25">
      <c r="A2809" s="2"/>
      <c r="B2809" s="2"/>
      <c r="F2809" s="1"/>
      <c r="G2809" s="1"/>
      <c r="I2809" s="1"/>
      <c r="J2809" s="1"/>
      <c r="L2809" s="1"/>
      <c r="M2809" s="1"/>
      <c r="O2809" s="2"/>
      <c r="P2809" s="2"/>
    </row>
    <row r="2810" spans="1:16" x14ac:dyDescent="0.25">
      <c r="A2810" s="2"/>
      <c r="B2810" s="2"/>
      <c r="F2810" s="1"/>
      <c r="G2810" s="1"/>
      <c r="I2810" s="1"/>
      <c r="J2810" s="1"/>
      <c r="L2810" s="1"/>
      <c r="M2810" s="1"/>
      <c r="O2810" s="2"/>
      <c r="P2810" s="2"/>
    </row>
    <row r="2811" spans="1:16" x14ac:dyDescent="0.25">
      <c r="A2811" s="2"/>
      <c r="B2811" s="2"/>
      <c r="F2811" s="1"/>
      <c r="G2811" s="1"/>
      <c r="I2811" s="1"/>
      <c r="J2811" s="1"/>
      <c r="L2811" s="1"/>
      <c r="M2811" s="1"/>
      <c r="O2811" s="2"/>
      <c r="P2811" s="2"/>
    </row>
    <row r="2812" spans="1:16" x14ac:dyDescent="0.25">
      <c r="A2812" s="2"/>
      <c r="B2812" s="2"/>
      <c r="F2812" s="1"/>
      <c r="G2812" s="1"/>
      <c r="I2812" s="1"/>
      <c r="J2812" s="1"/>
      <c r="L2812" s="1"/>
      <c r="M2812" s="1"/>
      <c r="O2812" s="2"/>
      <c r="P2812" s="2"/>
    </row>
    <row r="2813" spans="1:16" x14ac:dyDescent="0.25">
      <c r="A2813" s="2"/>
      <c r="B2813" s="2"/>
      <c r="F2813" s="1"/>
      <c r="G2813" s="1"/>
      <c r="I2813" s="1"/>
      <c r="J2813" s="1"/>
      <c r="L2813" s="1"/>
      <c r="M2813" s="1"/>
      <c r="O2813" s="2"/>
      <c r="P2813" s="2"/>
    </row>
    <row r="2814" spans="1:16" x14ac:dyDescent="0.25">
      <c r="A2814" s="2"/>
      <c r="B2814" s="2"/>
      <c r="F2814" s="1"/>
      <c r="G2814" s="1"/>
      <c r="I2814" s="1"/>
      <c r="J2814" s="1"/>
      <c r="L2814" s="1"/>
      <c r="M2814" s="1"/>
      <c r="O2814" s="2"/>
      <c r="P2814" s="2"/>
    </row>
    <row r="2815" spans="1:16" x14ac:dyDescent="0.25">
      <c r="A2815" s="2"/>
      <c r="B2815" s="2"/>
      <c r="F2815" s="1"/>
      <c r="G2815" s="1"/>
      <c r="I2815" s="1"/>
      <c r="J2815" s="1"/>
      <c r="L2815" s="1"/>
      <c r="M2815" s="1"/>
      <c r="O2815" s="2"/>
      <c r="P2815" s="2"/>
    </row>
    <row r="2816" spans="1:16" x14ac:dyDescent="0.25">
      <c r="A2816" s="2"/>
      <c r="B2816" s="2"/>
      <c r="F2816" s="1"/>
      <c r="G2816" s="1"/>
      <c r="I2816" s="1"/>
      <c r="J2816" s="1"/>
      <c r="L2816" s="1"/>
      <c r="M2816" s="1"/>
      <c r="O2816" s="2"/>
      <c r="P2816" s="2"/>
    </row>
    <row r="2817" spans="1:16" x14ac:dyDescent="0.25">
      <c r="A2817" s="2"/>
      <c r="B2817" s="2"/>
      <c r="F2817" s="1"/>
      <c r="G2817" s="1"/>
      <c r="I2817" s="1"/>
      <c r="J2817" s="1"/>
      <c r="L2817" s="1"/>
      <c r="M2817" s="1"/>
      <c r="O2817" s="2"/>
      <c r="P2817" s="2"/>
    </row>
    <row r="2818" spans="1:16" x14ac:dyDescent="0.25">
      <c r="A2818" s="2"/>
      <c r="B2818" s="2"/>
      <c r="F2818" s="1"/>
      <c r="G2818" s="1"/>
      <c r="I2818" s="1"/>
      <c r="J2818" s="1"/>
      <c r="L2818" s="1"/>
      <c r="M2818" s="1"/>
      <c r="O2818" s="2"/>
      <c r="P2818" s="2"/>
    </row>
    <row r="2819" spans="1:16" x14ac:dyDescent="0.25">
      <c r="A2819" s="2"/>
      <c r="B2819" s="2"/>
      <c r="F2819" s="1"/>
      <c r="G2819" s="1"/>
      <c r="I2819" s="1"/>
      <c r="J2819" s="1"/>
      <c r="L2819" s="1"/>
      <c r="M2819" s="1"/>
      <c r="O2819" s="2"/>
      <c r="P2819" s="2"/>
    </row>
    <row r="2820" spans="1:16" x14ac:dyDescent="0.25">
      <c r="A2820" s="2"/>
      <c r="B2820" s="2"/>
      <c r="F2820" s="1"/>
      <c r="G2820" s="1"/>
      <c r="I2820" s="1"/>
      <c r="J2820" s="1"/>
      <c r="L2820" s="1"/>
      <c r="M2820" s="1"/>
      <c r="O2820" s="2"/>
      <c r="P2820" s="2"/>
    </row>
    <row r="2821" spans="1:16" x14ac:dyDescent="0.25">
      <c r="A2821" s="2"/>
      <c r="B2821" s="2"/>
      <c r="F2821" s="1"/>
      <c r="G2821" s="1"/>
      <c r="I2821" s="1"/>
      <c r="J2821" s="1"/>
      <c r="L2821" s="1"/>
      <c r="M2821" s="1"/>
      <c r="O2821" s="2"/>
      <c r="P2821" s="2"/>
    </row>
    <row r="2822" spans="1:16" x14ac:dyDescent="0.25">
      <c r="A2822" s="2"/>
      <c r="B2822" s="2"/>
      <c r="F2822" s="1"/>
      <c r="G2822" s="1"/>
      <c r="I2822" s="1"/>
      <c r="J2822" s="1"/>
      <c r="L2822" s="1"/>
      <c r="M2822" s="1"/>
      <c r="O2822" s="2"/>
      <c r="P2822" s="2"/>
    </row>
    <row r="2823" spans="1:16" x14ac:dyDescent="0.25">
      <c r="A2823" s="2"/>
      <c r="B2823" s="2"/>
      <c r="F2823" s="1"/>
      <c r="G2823" s="1"/>
      <c r="I2823" s="1"/>
      <c r="J2823" s="1"/>
      <c r="L2823" s="1"/>
      <c r="M2823" s="1"/>
      <c r="O2823" s="2"/>
      <c r="P2823" s="2"/>
    </row>
    <row r="2824" spans="1:16" x14ac:dyDescent="0.25">
      <c r="A2824" s="2"/>
      <c r="B2824" s="2"/>
      <c r="F2824" s="1"/>
      <c r="G2824" s="1"/>
      <c r="I2824" s="1"/>
      <c r="J2824" s="1"/>
      <c r="L2824" s="1"/>
      <c r="M2824" s="1"/>
      <c r="O2824" s="2"/>
      <c r="P2824" s="2"/>
    </row>
    <row r="2825" spans="1:16" x14ac:dyDescent="0.25">
      <c r="A2825" s="2"/>
      <c r="B2825" s="2"/>
      <c r="F2825" s="1"/>
      <c r="G2825" s="1"/>
      <c r="I2825" s="1"/>
      <c r="J2825" s="1"/>
      <c r="L2825" s="1"/>
      <c r="M2825" s="1"/>
      <c r="O2825" s="2"/>
      <c r="P2825" s="2"/>
    </row>
    <row r="2826" spans="1:16" x14ac:dyDescent="0.25">
      <c r="A2826" s="2"/>
      <c r="B2826" s="2"/>
      <c r="F2826" s="1"/>
      <c r="G2826" s="1"/>
      <c r="I2826" s="1"/>
      <c r="J2826" s="1"/>
      <c r="L2826" s="1"/>
      <c r="M2826" s="1"/>
      <c r="O2826" s="2"/>
      <c r="P2826" s="2"/>
    </row>
    <row r="2827" spans="1:16" x14ac:dyDescent="0.25">
      <c r="A2827" s="2"/>
      <c r="B2827" s="2"/>
      <c r="F2827" s="1"/>
      <c r="G2827" s="1"/>
      <c r="I2827" s="1"/>
      <c r="J2827" s="1"/>
      <c r="L2827" s="1"/>
      <c r="M2827" s="1"/>
      <c r="O2827" s="2"/>
      <c r="P2827" s="2"/>
    </row>
    <row r="2828" spans="1:16" x14ac:dyDescent="0.25">
      <c r="A2828" s="2"/>
      <c r="B2828" s="2"/>
      <c r="F2828" s="1"/>
      <c r="G2828" s="1"/>
      <c r="I2828" s="1"/>
      <c r="J2828" s="1"/>
      <c r="L2828" s="1"/>
      <c r="M2828" s="1"/>
      <c r="O2828" s="2"/>
      <c r="P2828" s="2"/>
    </row>
    <row r="2829" spans="1:16" x14ac:dyDescent="0.25">
      <c r="A2829" s="2"/>
      <c r="B2829" s="2"/>
      <c r="F2829" s="1"/>
      <c r="G2829" s="1"/>
      <c r="I2829" s="1"/>
      <c r="J2829" s="1"/>
      <c r="L2829" s="1"/>
      <c r="M2829" s="1"/>
      <c r="O2829" s="2"/>
      <c r="P2829" s="2"/>
    </row>
    <row r="2830" spans="1:16" x14ac:dyDescent="0.25">
      <c r="A2830" s="2"/>
      <c r="B2830" s="2"/>
      <c r="F2830" s="1"/>
      <c r="G2830" s="1"/>
      <c r="I2830" s="1"/>
      <c r="J2830" s="1"/>
      <c r="L2830" s="1"/>
      <c r="M2830" s="1"/>
      <c r="O2830" s="2"/>
      <c r="P2830" s="2"/>
    </row>
    <row r="2831" spans="1:16" x14ac:dyDescent="0.25">
      <c r="A2831" s="2"/>
      <c r="B2831" s="2"/>
      <c r="F2831" s="1"/>
      <c r="G2831" s="1"/>
      <c r="I2831" s="1"/>
      <c r="J2831" s="1"/>
      <c r="L2831" s="1"/>
      <c r="M2831" s="1"/>
      <c r="O2831" s="2"/>
      <c r="P2831" s="2"/>
    </row>
    <row r="2832" spans="1:16" x14ac:dyDescent="0.25">
      <c r="A2832" s="2"/>
      <c r="B2832" s="2"/>
      <c r="F2832" s="1"/>
      <c r="G2832" s="1"/>
      <c r="I2832" s="1"/>
      <c r="J2832" s="1"/>
      <c r="L2832" s="1"/>
      <c r="M2832" s="1"/>
      <c r="O2832" s="2"/>
      <c r="P2832" s="2"/>
    </row>
    <row r="2833" spans="1:16" x14ac:dyDescent="0.25">
      <c r="A2833" s="2"/>
      <c r="B2833" s="2"/>
      <c r="F2833" s="1"/>
      <c r="G2833" s="1"/>
      <c r="I2833" s="1"/>
      <c r="J2833" s="1"/>
      <c r="L2833" s="1"/>
      <c r="M2833" s="1"/>
      <c r="O2833" s="2"/>
      <c r="P2833" s="2"/>
    </row>
    <row r="2834" spans="1:16" x14ac:dyDescent="0.25">
      <c r="A2834" s="2"/>
      <c r="B2834" s="2"/>
      <c r="F2834" s="1"/>
      <c r="G2834" s="1"/>
      <c r="I2834" s="1"/>
      <c r="J2834" s="1"/>
      <c r="L2834" s="1"/>
      <c r="M2834" s="1"/>
      <c r="O2834" s="2"/>
      <c r="P2834" s="2"/>
    </row>
    <row r="2835" spans="1:16" x14ac:dyDescent="0.25">
      <c r="A2835" s="2"/>
      <c r="B2835" s="2"/>
      <c r="F2835" s="1"/>
      <c r="G2835" s="1"/>
      <c r="I2835" s="1"/>
      <c r="J2835" s="1"/>
      <c r="L2835" s="1"/>
      <c r="M2835" s="1"/>
      <c r="O2835" s="2"/>
      <c r="P2835" s="2"/>
    </row>
    <row r="2836" spans="1:16" x14ac:dyDescent="0.25">
      <c r="A2836" s="2"/>
      <c r="B2836" s="2"/>
      <c r="F2836" s="1"/>
      <c r="G2836" s="1"/>
      <c r="I2836" s="1"/>
      <c r="J2836" s="1"/>
      <c r="L2836" s="1"/>
      <c r="M2836" s="1"/>
      <c r="O2836" s="2"/>
      <c r="P2836" s="2"/>
    </row>
    <row r="2837" spans="1:16" x14ac:dyDescent="0.25">
      <c r="A2837" s="2"/>
      <c r="B2837" s="2"/>
      <c r="F2837" s="1"/>
      <c r="G2837" s="1"/>
      <c r="I2837" s="1"/>
      <c r="J2837" s="1"/>
      <c r="L2837" s="1"/>
      <c r="M2837" s="1"/>
      <c r="O2837" s="2"/>
      <c r="P2837" s="2"/>
    </row>
    <row r="2838" spans="1:16" x14ac:dyDescent="0.25">
      <c r="A2838" s="2"/>
      <c r="B2838" s="2"/>
      <c r="F2838" s="1"/>
      <c r="G2838" s="1"/>
      <c r="I2838" s="1"/>
      <c r="J2838" s="1"/>
      <c r="L2838" s="1"/>
      <c r="M2838" s="1"/>
      <c r="O2838" s="2"/>
      <c r="P2838" s="2"/>
    </row>
    <row r="2839" spans="1:16" x14ac:dyDescent="0.25">
      <c r="A2839" s="2"/>
      <c r="B2839" s="2"/>
      <c r="F2839" s="1"/>
      <c r="G2839" s="1"/>
      <c r="I2839" s="1"/>
      <c r="J2839" s="1"/>
      <c r="L2839" s="1"/>
      <c r="M2839" s="1"/>
      <c r="O2839" s="2"/>
      <c r="P2839" s="2"/>
    </row>
    <row r="2840" spans="1:16" x14ac:dyDescent="0.25">
      <c r="A2840" s="2"/>
      <c r="B2840" s="2"/>
      <c r="F2840" s="1"/>
      <c r="G2840" s="1"/>
      <c r="I2840" s="1"/>
      <c r="J2840" s="1"/>
      <c r="L2840" s="1"/>
      <c r="M2840" s="1"/>
      <c r="O2840" s="2"/>
      <c r="P2840" s="2"/>
    </row>
    <row r="2841" spans="1:16" x14ac:dyDescent="0.25">
      <c r="A2841" s="2"/>
      <c r="B2841" s="2"/>
      <c r="F2841" s="1"/>
      <c r="G2841" s="1"/>
      <c r="I2841" s="1"/>
      <c r="J2841" s="1"/>
      <c r="L2841" s="1"/>
      <c r="M2841" s="1"/>
      <c r="O2841" s="2"/>
      <c r="P2841" s="2"/>
    </row>
    <row r="2842" spans="1:16" x14ac:dyDescent="0.25">
      <c r="A2842" s="2"/>
      <c r="B2842" s="2"/>
      <c r="F2842" s="1"/>
      <c r="G2842" s="1"/>
      <c r="I2842" s="1"/>
      <c r="J2842" s="1"/>
      <c r="L2842" s="1"/>
      <c r="M2842" s="1"/>
      <c r="O2842" s="2"/>
      <c r="P2842" s="2"/>
    </row>
    <row r="2843" spans="1:16" x14ac:dyDescent="0.25">
      <c r="A2843" s="2"/>
      <c r="B2843" s="2"/>
      <c r="F2843" s="1"/>
      <c r="G2843" s="1"/>
      <c r="I2843" s="1"/>
      <c r="J2843" s="1"/>
      <c r="L2843" s="1"/>
      <c r="M2843" s="1"/>
      <c r="O2843" s="2"/>
      <c r="P2843" s="2"/>
    </row>
    <row r="2844" spans="1:16" x14ac:dyDescent="0.25">
      <c r="A2844" s="2"/>
      <c r="B2844" s="2"/>
      <c r="F2844" s="1"/>
      <c r="G2844" s="1"/>
      <c r="I2844" s="1"/>
      <c r="J2844" s="1"/>
      <c r="L2844" s="1"/>
      <c r="M2844" s="1"/>
      <c r="O2844" s="2"/>
      <c r="P2844" s="2"/>
    </row>
    <row r="2845" spans="1:16" x14ac:dyDescent="0.25">
      <c r="A2845" s="2"/>
      <c r="B2845" s="2"/>
      <c r="F2845" s="1"/>
      <c r="G2845" s="1"/>
      <c r="I2845" s="1"/>
      <c r="J2845" s="1"/>
      <c r="L2845" s="1"/>
      <c r="M2845" s="1"/>
      <c r="O2845" s="2"/>
      <c r="P2845" s="2"/>
    </row>
    <row r="2846" spans="1:16" x14ac:dyDescent="0.25">
      <c r="A2846" s="2"/>
      <c r="B2846" s="2"/>
      <c r="F2846" s="1"/>
      <c r="G2846" s="1"/>
      <c r="I2846" s="1"/>
      <c r="J2846" s="1"/>
      <c r="L2846" s="1"/>
      <c r="M2846" s="1"/>
      <c r="O2846" s="2"/>
      <c r="P2846" s="2"/>
    </row>
    <row r="2847" spans="1:16" x14ac:dyDescent="0.25">
      <c r="A2847" s="2"/>
      <c r="B2847" s="2"/>
      <c r="F2847" s="1"/>
      <c r="G2847" s="1"/>
      <c r="I2847" s="1"/>
      <c r="J2847" s="1"/>
      <c r="L2847" s="1"/>
      <c r="M2847" s="1"/>
      <c r="O2847" s="2"/>
      <c r="P2847" s="2"/>
    </row>
    <row r="2848" spans="1:16" x14ac:dyDescent="0.25">
      <c r="A2848" s="2"/>
      <c r="B2848" s="2"/>
      <c r="F2848" s="1"/>
      <c r="G2848" s="1"/>
      <c r="I2848" s="1"/>
      <c r="J2848" s="1"/>
      <c r="L2848" s="1"/>
      <c r="M2848" s="1"/>
      <c r="O2848" s="2"/>
      <c r="P2848" s="2"/>
    </row>
    <row r="2849" spans="1:16" x14ac:dyDescent="0.25">
      <c r="A2849" s="2"/>
      <c r="B2849" s="2"/>
      <c r="F2849" s="1"/>
      <c r="G2849" s="1"/>
      <c r="I2849" s="1"/>
      <c r="J2849" s="1"/>
      <c r="L2849" s="1"/>
      <c r="M2849" s="1"/>
      <c r="O2849" s="2"/>
      <c r="P2849" s="2"/>
    </row>
    <row r="2850" spans="1:16" x14ac:dyDescent="0.25">
      <c r="A2850" s="2"/>
      <c r="B2850" s="2"/>
      <c r="F2850" s="1"/>
      <c r="G2850" s="1"/>
      <c r="I2850" s="1"/>
      <c r="J2850" s="1"/>
      <c r="L2850" s="1"/>
      <c r="M2850" s="1"/>
      <c r="O2850" s="2"/>
      <c r="P2850" s="2"/>
    </row>
    <row r="2851" spans="1:16" x14ac:dyDescent="0.25">
      <c r="A2851" s="2"/>
      <c r="B2851" s="2"/>
      <c r="F2851" s="1"/>
      <c r="G2851" s="1"/>
      <c r="I2851" s="1"/>
      <c r="J2851" s="1"/>
      <c r="L2851" s="1"/>
      <c r="M2851" s="1"/>
      <c r="O2851" s="2"/>
      <c r="P2851" s="2"/>
    </row>
    <row r="2852" spans="1:16" x14ac:dyDescent="0.25">
      <c r="A2852" s="2"/>
      <c r="B2852" s="2"/>
      <c r="F2852" s="1"/>
      <c r="G2852" s="1"/>
      <c r="I2852" s="1"/>
      <c r="J2852" s="1"/>
      <c r="L2852" s="1"/>
      <c r="M2852" s="1"/>
      <c r="O2852" s="2"/>
      <c r="P2852" s="2"/>
    </row>
    <row r="2853" spans="1:16" x14ac:dyDescent="0.25">
      <c r="A2853" s="2"/>
      <c r="B2853" s="2"/>
      <c r="F2853" s="1"/>
      <c r="G2853" s="1"/>
      <c r="I2853" s="1"/>
      <c r="J2853" s="1"/>
      <c r="L2853" s="1"/>
      <c r="M2853" s="1"/>
      <c r="O2853" s="2"/>
      <c r="P2853" s="2"/>
    </row>
    <row r="2854" spans="1:16" x14ac:dyDescent="0.25">
      <c r="A2854" s="2"/>
      <c r="B2854" s="2"/>
      <c r="F2854" s="1"/>
      <c r="G2854" s="1"/>
      <c r="I2854" s="1"/>
      <c r="J2854" s="1"/>
      <c r="L2854" s="1"/>
      <c r="M2854" s="1"/>
      <c r="O2854" s="2"/>
      <c r="P2854" s="2"/>
    </row>
    <row r="2855" spans="1:16" x14ac:dyDescent="0.25">
      <c r="A2855" s="2"/>
      <c r="B2855" s="2"/>
      <c r="F2855" s="1"/>
      <c r="G2855" s="1"/>
      <c r="I2855" s="1"/>
      <c r="J2855" s="1"/>
      <c r="L2855" s="1"/>
      <c r="M2855" s="1"/>
      <c r="O2855" s="2"/>
      <c r="P2855" s="2"/>
    </row>
    <row r="2856" spans="1:16" x14ac:dyDescent="0.25">
      <c r="A2856" s="2"/>
      <c r="B2856" s="2"/>
      <c r="F2856" s="1"/>
      <c r="G2856" s="1"/>
      <c r="I2856" s="1"/>
      <c r="J2856" s="1"/>
      <c r="L2856" s="1"/>
      <c r="M2856" s="1"/>
      <c r="O2856" s="2"/>
      <c r="P2856" s="2"/>
    </row>
    <row r="2857" spans="1:16" x14ac:dyDescent="0.25">
      <c r="A2857" s="2"/>
      <c r="B2857" s="2"/>
      <c r="F2857" s="1"/>
      <c r="G2857" s="1"/>
      <c r="I2857" s="1"/>
      <c r="J2857" s="1"/>
      <c r="L2857" s="1"/>
      <c r="M2857" s="1"/>
      <c r="O2857" s="2"/>
      <c r="P2857" s="2"/>
    </row>
    <row r="2858" spans="1:16" x14ac:dyDescent="0.25">
      <c r="A2858" s="2"/>
      <c r="B2858" s="2"/>
      <c r="F2858" s="1"/>
      <c r="G2858" s="1"/>
      <c r="I2858" s="1"/>
      <c r="J2858" s="1"/>
      <c r="L2858" s="1"/>
      <c r="M2858" s="1"/>
      <c r="O2858" s="2"/>
      <c r="P2858" s="2"/>
    </row>
    <row r="2859" spans="1:16" x14ac:dyDescent="0.25">
      <c r="A2859" s="2"/>
      <c r="B2859" s="2"/>
      <c r="F2859" s="1"/>
      <c r="G2859" s="1"/>
      <c r="I2859" s="1"/>
      <c r="J2859" s="1"/>
      <c r="L2859" s="1"/>
      <c r="M2859" s="1"/>
      <c r="O2859" s="2"/>
      <c r="P2859" s="2"/>
    </row>
    <row r="2860" spans="1:16" x14ac:dyDescent="0.25">
      <c r="A2860" s="2"/>
      <c r="B2860" s="2"/>
      <c r="F2860" s="1"/>
      <c r="G2860" s="1"/>
      <c r="I2860" s="1"/>
      <c r="J2860" s="1"/>
      <c r="L2860" s="1"/>
      <c r="M2860" s="1"/>
      <c r="O2860" s="2"/>
      <c r="P2860" s="2"/>
    </row>
    <row r="2861" spans="1:16" x14ac:dyDescent="0.25">
      <c r="A2861" s="2"/>
      <c r="B2861" s="2"/>
      <c r="F2861" s="1"/>
      <c r="G2861" s="1"/>
      <c r="I2861" s="1"/>
      <c r="J2861" s="1"/>
      <c r="L2861" s="1"/>
      <c r="M2861" s="1"/>
      <c r="O2861" s="2"/>
      <c r="P2861" s="2"/>
    </row>
    <row r="2862" spans="1:16" x14ac:dyDescent="0.25">
      <c r="A2862" s="2"/>
      <c r="B2862" s="2"/>
      <c r="F2862" s="1"/>
      <c r="G2862" s="1"/>
      <c r="I2862" s="1"/>
      <c r="J2862" s="1"/>
      <c r="L2862" s="1"/>
      <c r="M2862" s="1"/>
      <c r="O2862" s="2"/>
      <c r="P2862" s="2"/>
    </row>
    <row r="2863" spans="1:16" x14ac:dyDescent="0.25">
      <c r="A2863" s="2"/>
      <c r="B2863" s="2"/>
      <c r="F2863" s="1"/>
      <c r="G2863" s="1"/>
      <c r="I2863" s="1"/>
      <c r="J2863" s="1"/>
      <c r="L2863" s="1"/>
      <c r="M2863" s="1"/>
      <c r="O2863" s="2"/>
      <c r="P2863" s="2"/>
    </row>
    <row r="2864" spans="1:16" x14ac:dyDescent="0.25">
      <c r="A2864" s="2"/>
      <c r="B2864" s="2"/>
      <c r="F2864" s="1"/>
      <c r="G2864" s="1"/>
      <c r="I2864" s="1"/>
      <c r="J2864" s="1"/>
      <c r="L2864" s="1"/>
      <c r="M2864" s="1"/>
      <c r="O2864" s="2"/>
      <c r="P2864" s="2"/>
    </row>
    <row r="2865" spans="1:16" x14ac:dyDescent="0.25">
      <c r="A2865" s="2"/>
      <c r="B2865" s="2"/>
      <c r="F2865" s="1"/>
      <c r="G2865" s="1"/>
      <c r="I2865" s="1"/>
      <c r="J2865" s="1"/>
      <c r="L2865" s="1"/>
      <c r="M2865" s="1"/>
      <c r="O2865" s="2"/>
      <c r="P2865" s="2"/>
    </row>
    <row r="2866" spans="1:16" x14ac:dyDescent="0.25">
      <c r="A2866" s="2"/>
      <c r="B2866" s="2"/>
      <c r="F2866" s="1"/>
      <c r="G2866" s="1"/>
      <c r="I2866" s="1"/>
      <c r="J2866" s="1"/>
      <c r="L2866" s="1"/>
      <c r="M2866" s="1"/>
      <c r="O2866" s="2"/>
      <c r="P2866" s="2"/>
    </row>
    <row r="2867" spans="1:16" x14ac:dyDescent="0.25">
      <c r="A2867" s="2"/>
      <c r="B2867" s="2"/>
      <c r="F2867" s="1"/>
      <c r="G2867" s="1"/>
      <c r="I2867" s="1"/>
      <c r="J2867" s="1"/>
      <c r="L2867" s="1"/>
      <c r="M2867" s="1"/>
      <c r="O2867" s="2"/>
      <c r="P2867" s="2"/>
    </row>
    <row r="2868" spans="1:16" x14ac:dyDescent="0.25">
      <c r="A2868" s="2"/>
      <c r="B2868" s="2"/>
      <c r="F2868" s="1"/>
      <c r="G2868" s="1"/>
      <c r="I2868" s="1"/>
      <c r="J2868" s="1"/>
      <c r="L2868" s="1"/>
      <c r="M2868" s="1"/>
      <c r="O2868" s="2"/>
      <c r="P2868" s="2"/>
    </row>
    <row r="2869" spans="1:16" x14ac:dyDescent="0.25">
      <c r="A2869" s="2"/>
      <c r="B2869" s="2"/>
      <c r="F2869" s="1"/>
      <c r="G2869" s="1"/>
      <c r="I2869" s="1"/>
      <c r="J2869" s="1"/>
      <c r="L2869" s="1"/>
      <c r="M2869" s="1"/>
      <c r="O2869" s="2"/>
      <c r="P2869" s="2"/>
    </row>
    <row r="2870" spans="1:16" x14ac:dyDescent="0.25">
      <c r="A2870" s="2"/>
      <c r="B2870" s="2"/>
      <c r="F2870" s="1"/>
      <c r="G2870" s="1"/>
      <c r="I2870" s="1"/>
      <c r="J2870" s="1"/>
      <c r="L2870" s="1"/>
      <c r="M2870" s="1"/>
      <c r="O2870" s="2"/>
      <c r="P2870" s="2"/>
    </row>
    <row r="2871" spans="1:16" x14ac:dyDescent="0.25">
      <c r="A2871" s="2"/>
      <c r="B2871" s="2"/>
      <c r="F2871" s="1"/>
      <c r="G2871" s="1"/>
      <c r="I2871" s="1"/>
      <c r="J2871" s="1"/>
      <c r="L2871" s="1"/>
      <c r="M2871" s="1"/>
      <c r="O2871" s="2"/>
      <c r="P2871" s="2"/>
    </row>
    <row r="2872" spans="1:16" x14ac:dyDescent="0.25">
      <c r="A2872" s="2"/>
      <c r="B2872" s="2"/>
      <c r="F2872" s="1"/>
      <c r="G2872" s="1"/>
      <c r="I2872" s="1"/>
      <c r="J2872" s="1"/>
      <c r="L2872" s="1"/>
      <c r="M2872" s="1"/>
      <c r="O2872" s="2"/>
      <c r="P2872" s="2"/>
    </row>
    <row r="2873" spans="1:16" x14ac:dyDescent="0.25">
      <c r="A2873" s="2"/>
      <c r="B2873" s="2"/>
      <c r="F2873" s="1"/>
      <c r="G2873" s="1"/>
      <c r="I2873" s="1"/>
      <c r="J2873" s="1"/>
      <c r="L2873" s="1"/>
      <c r="M2873" s="1"/>
      <c r="O2873" s="2"/>
      <c r="P2873" s="2"/>
    </row>
    <row r="2874" spans="1:16" x14ac:dyDescent="0.25">
      <c r="A2874" s="2"/>
      <c r="B2874" s="2"/>
      <c r="F2874" s="1"/>
      <c r="G2874" s="1"/>
      <c r="I2874" s="1"/>
      <c r="J2874" s="1"/>
      <c r="L2874" s="1"/>
      <c r="M2874" s="1"/>
      <c r="O2874" s="2"/>
      <c r="P2874" s="2"/>
    </row>
    <row r="2875" spans="1:16" x14ac:dyDescent="0.25">
      <c r="A2875" s="2"/>
      <c r="B2875" s="2"/>
      <c r="F2875" s="1"/>
      <c r="G2875" s="1"/>
      <c r="I2875" s="1"/>
      <c r="J2875" s="1"/>
      <c r="L2875" s="1"/>
      <c r="M2875" s="1"/>
      <c r="O2875" s="2"/>
      <c r="P2875" s="2"/>
    </row>
    <row r="2876" spans="1:16" x14ac:dyDescent="0.25">
      <c r="A2876" s="2"/>
      <c r="B2876" s="2"/>
      <c r="F2876" s="1"/>
      <c r="G2876" s="1"/>
      <c r="I2876" s="1"/>
      <c r="J2876" s="1"/>
      <c r="L2876" s="1"/>
      <c r="M2876" s="1"/>
      <c r="O2876" s="2"/>
      <c r="P2876" s="2"/>
    </row>
    <row r="2877" spans="1:16" x14ac:dyDescent="0.25">
      <c r="A2877" s="2"/>
      <c r="B2877" s="2"/>
      <c r="F2877" s="1"/>
      <c r="G2877" s="1"/>
      <c r="I2877" s="1"/>
      <c r="J2877" s="1"/>
      <c r="L2877" s="1"/>
      <c r="M2877" s="1"/>
      <c r="O2877" s="2"/>
      <c r="P2877" s="2"/>
    </row>
    <row r="2878" spans="1:16" x14ac:dyDescent="0.25">
      <c r="A2878" s="2"/>
      <c r="B2878" s="2"/>
      <c r="F2878" s="1"/>
      <c r="G2878" s="1"/>
      <c r="I2878" s="1"/>
      <c r="J2878" s="1"/>
      <c r="L2878" s="1"/>
      <c r="M2878" s="1"/>
      <c r="O2878" s="2"/>
      <c r="P2878" s="2"/>
    </row>
    <row r="2879" spans="1:16" x14ac:dyDescent="0.25">
      <c r="A2879" s="2"/>
      <c r="B2879" s="2"/>
      <c r="F2879" s="1"/>
      <c r="G2879" s="1"/>
      <c r="I2879" s="1"/>
      <c r="J2879" s="1"/>
      <c r="L2879" s="1"/>
      <c r="M2879" s="1"/>
      <c r="O2879" s="2"/>
      <c r="P2879" s="2"/>
    </row>
    <row r="2880" spans="1:16" x14ac:dyDescent="0.25">
      <c r="A2880" s="2"/>
      <c r="B2880" s="2"/>
      <c r="F2880" s="1"/>
      <c r="G2880" s="1"/>
      <c r="I2880" s="1"/>
      <c r="J2880" s="1"/>
      <c r="L2880" s="1"/>
      <c r="M2880" s="1"/>
      <c r="O2880" s="2"/>
      <c r="P2880" s="2"/>
    </row>
    <row r="2881" spans="1:16" x14ac:dyDescent="0.25">
      <c r="A2881" s="2"/>
      <c r="B2881" s="2"/>
      <c r="F2881" s="1"/>
      <c r="G2881" s="1"/>
      <c r="I2881" s="1"/>
      <c r="J2881" s="1"/>
      <c r="L2881" s="1"/>
      <c r="M2881" s="1"/>
      <c r="O2881" s="2"/>
      <c r="P2881" s="2"/>
    </row>
    <row r="2882" spans="1:16" x14ac:dyDescent="0.25">
      <c r="A2882" s="2"/>
      <c r="B2882" s="2"/>
      <c r="F2882" s="1"/>
      <c r="G2882" s="1"/>
      <c r="I2882" s="1"/>
      <c r="J2882" s="1"/>
      <c r="L2882" s="1"/>
      <c r="M2882" s="1"/>
      <c r="O2882" s="2"/>
      <c r="P2882" s="2"/>
    </row>
    <row r="2883" spans="1:16" x14ac:dyDescent="0.25">
      <c r="A2883" s="2"/>
      <c r="B2883" s="2"/>
      <c r="F2883" s="1"/>
      <c r="G2883" s="1"/>
      <c r="I2883" s="1"/>
      <c r="J2883" s="1"/>
      <c r="L2883" s="1"/>
      <c r="M2883" s="1"/>
      <c r="O2883" s="2"/>
      <c r="P2883" s="2"/>
    </row>
    <row r="2884" spans="1:16" x14ac:dyDescent="0.25">
      <c r="A2884" s="2"/>
      <c r="B2884" s="2"/>
      <c r="F2884" s="1"/>
      <c r="G2884" s="1"/>
      <c r="I2884" s="1"/>
      <c r="J2884" s="1"/>
      <c r="L2884" s="1"/>
      <c r="M2884" s="1"/>
      <c r="O2884" s="2"/>
      <c r="P2884" s="2"/>
    </row>
    <row r="2885" spans="1:16" x14ac:dyDescent="0.25">
      <c r="A2885" s="2"/>
      <c r="B2885" s="2"/>
      <c r="F2885" s="1"/>
      <c r="G2885" s="1"/>
      <c r="I2885" s="1"/>
      <c r="J2885" s="1"/>
      <c r="L2885" s="1"/>
      <c r="M2885" s="1"/>
      <c r="O2885" s="2"/>
      <c r="P2885" s="2"/>
    </row>
    <row r="2886" spans="1:16" x14ac:dyDescent="0.25">
      <c r="A2886" s="2"/>
      <c r="B2886" s="2"/>
      <c r="F2886" s="1"/>
      <c r="G2886" s="1"/>
      <c r="I2886" s="1"/>
      <c r="J2886" s="1"/>
      <c r="L2886" s="1"/>
      <c r="M2886" s="1"/>
      <c r="O2886" s="2"/>
      <c r="P2886" s="2"/>
    </row>
    <row r="2887" spans="1:16" x14ac:dyDescent="0.25">
      <c r="A2887" s="2"/>
      <c r="B2887" s="2"/>
      <c r="F2887" s="1"/>
      <c r="G2887" s="1"/>
      <c r="I2887" s="1"/>
      <c r="J2887" s="1"/>
      <c r="L2887" s="1"/>
      <c r="M2887" s="1"/>
      <c r="O2887" s="2"/>
      <c r="P2887" s="2"/>
    </row>
    <row r="2888" spans="1:16" x14ac:dyDescent="0.25">
      <c r="A2888" s="2"/>
      <c r="B2888" s="2"/>
      <c r="F2888" s="1"/>
      <c r="G2888" s="1"/>
      <c r="I2888" s="1"/>
      <c r="J2888" s="1"/>
      <c r="L2888" s="1"/>
      <c r="M2888" s="1"/>
      <c r="O2888" s="2"/>
      <c r="P2888" s="2"/>
    </row>
    <row r="2889" spans="1:16" x14ac:dyDescent="0.25">
      <c r="A2889" s="2"/>
      <c r="B2889" s="2"/>
      <c r="F2889" s="1"/>
      <c r="G2889" s="1"/>
      <c r="I2889" s="1"/>
      <c r="J2889" s="1"/>
      <c r="L2889" s="1"/>
      <c r="M2889" s="1"/>
      <c r="O2889" s="2"/>
      <c r="P2889" s="2"/>
    </row>
    <row r="2890" spans="1:16" x14ac:dyDescent="0.25">
      <c r="A2890" s="2"/>
      <c r="B2890" s="2"/>
      <c r="F2890" s="1"/>
      <c r="G2890" s="1"/>
      <c r="I2890" s="1"/>
      <c r="J2890" s="1"/>
      <c r="L2890" s="1"/>
      <c r="M2890" s="1"/>
      <c r="O2890" s="2"/>
      <c r="P2890" s="2"/>
    </row>
    <row r="2891" spans="1:16" x14ac:dyDescent="0.25">
      <c r="A2891" s="2"/>
      <c r="B2891" s="2"/>
      <c r="F2891" s="1"/>
      <c r="G2891" s="1"/>
      <c r="I2891" s="1"/>
      <c r="J2891" s="1"/>
      <c r="L2891" s="1"/>
      <c r="M2891" s="1"/>
      <c r="O2891" s="2"/>
      <c r="P2891" s="2"/>
    </row>
    <row r="2892" spans="1:16" x14ac:dyDescent="0.25">
      <c r="A2892" s="2"/>
      <c r="B2892" s="2"/>
      <c r="F2892" s="1"/>
      <c r="G2892" s="1"/>
      <c r="I2892" s="1"/>
      <c r="J2892" s="1"/>
      <c r="L2892" s="1"/>
      <c r="M2892" s="1"/>
      <c r="O2892" s="2"/>
      <c r="P2892" s="2"/>
    </row>
    <row r="2893" spans="1:16" x14ac:dyDescent="0.25">
      <c r="A2893" s="2"/>
      <c r="B2893" s="2"/>
      <c r="F2893" s="1"/>
      <c r="G2893" s="1"/>
      <c r="I2893" s="1"/>
      <c r="J2893" s="1"/>
      <c r="L2893" s="1"/>
      <c r="M2893" s="1"/>
      <c r="O2893" s="2"/>
      <c r="P2893" s="2"/>
    </row>
    <row r="2894" spans="1:16" x14ac:dyDescent="0.25">
      <c r="A2894" s="2"/>
      <c r="B2894" s="2"/>
      <c r="F2894" s="1"/>
      <c r="G2894" s="1"/>
      <c r="I2894" s="1"/>
      <c r="J2894" s="1"/>
      <c r="L2894" s="1"/>
      <c r="M2894" s="1"/>
      <c r="O2894" s="2"/>
      <c r="P2894" s="2"/>
    </row>
    <row r="2895" spans="1:16" x14ac:dyDescent="0.25">
      <c r="A2895" s="2"/>
      <c r="B2895" s="2"/>
      <c r="F2895" s="1"/>
      <c r="G2895" s="1"/>
      <c r="I2895" s="1"/>
      <c r="J2895" s="1"/>
      <c r="L2895" s="1"/>
      <c r="M2895" s="1"/>
      <c r="O2895" s="2"/>
      <c r="P2895" s="2"/>
    </row>
    <row r="2896" spans="1:16" x14ac:dyDescent="0.25">
      <c r="A2896" s="2"/>
      <c r="B2896" s="2"/>
      <c r="F2896" s="1"/>
      <c r="G2896" s="1"/>
      <c r="I2896" s="1"/>
      <c r="J2896" s="1"/>
      <c r="L2896" s="1"/>
      <c r="M2896" s="1"/>
      <c r="O2896" s="2"/>
      <c r="P2896" s="2"/>
    </row>
    <row r="2897" spans="1:16" x14ac:dyDescent="0.25">
      <c r="A2897" s="2"/>
      <c r="B2897" s="2"/>
      <c r="F2897" s="1"/>
      <c r="G2897" s="1"/>
      <c r="I2897" s="1"/>
      <c r="J2897" s="1"/>
      <c r="L2897" s="1"/>
      <c r="M2897" s="1"/>
      <c r="O2897" s="2"/>
      <c r="P2897" s="2"/>
    </row>
    <row r="2898" spans="1:16" x14ac:dyDescent="0.25">
      <c r="A2898" s="2"/>
      <c r="B2898" s="2"/>
      <c r="F2898" s="1"/>
      <c r="G2898" s="1"/>
      <c r="I2898" s="1"/>
      <c r="J2898" s="1"/>
      <c r="L2898" s="1"/>
      <c r="M2898" s="1"/>
      <c r="O2898" s="2"/>
      <c r="P2898" s="2"/>
    </row>
    <row r="2899" spans="1:16" x14ac:dyDescent="0.25">
      <c r="A2899" s="2"/>
      <c r="B2899" s="2"/>
      <c r="F2899" s="1"/>
      <c r="G2899" s="1"/>
      <c r="I2899" s="1"/>
      <c r="J2899" s="1"/>
      <c r="L2899" s="1"/>
      <c r="M2899" s="1"/>
      <c r="O2899" s="2"/>
      <c r="P2899" s="2"/>
    </row>
    <row r="2900" spans="1:16" x14ac:dyDescent="0.25">
      <c r="A2900" s="2"/>
      <c r="B2900" s="2"/>
      <c r="F2900" s="1"/>
      <c r="G2900" s="1"/>
      <c r="I2900" s="1"/>
      <c r="J2900" s="1"/>
      <c r="L2900" s="1"/>
      <c r="M2900" s="1"/>
      <c r="O2900" s="2"/>
      <c r="P2900" s="2"/>
    </row>
    <row r="2901" spans="1:16" x14ac:dyDescent="0.25">
      <c r="A2901" s="2"/>
      <c r="B2901" s="2"/>
      <c r="F2901" s="1"/>
      <c r="G2901" s="1"/>
      <c r="I2901" s="1"/>
      <c r="J2901" s="1"/>
      <c r="L2901" s="1"/>
      <c r="M2901" s="1"/>
      <c r="O2901" s="2"/>
      <c r="P2901" s="2"/>
    </row>
    <row r="2902" spans="1:16" x14ac:dyDescent="0.25">
      <c r="A2902" s="2"/>
      <c r="B2902" s="2"/>
      <c r="F2902" s="1"/>
      <c r="G2902" s="1"/>
      <c r="I2902" s="1"/>
      <c r="J2902" s="1"/>
      <c r="L2902" s="1"/>
      <c r="M2902" s="1"/>
      <c r="O2902" s="2"/>
      <c r="P2902" s="2"/>
    </row>
    <row r="2903" spans="1:16" x14ac:dyDescent="0.25">
      <c r="A2903" s="2"/>
      <c r="B2903" s="2"/>
      <c r="F2903" s="1"/>
      <c r="G2903" s="1"/>
      <c r="I2903" s="1"/>
      <c r="J2903" s="1"/>
      <c r="L2903" s="1"/>
      <c r="M2903" s="1"/>
      <c r="O2903" s="2"/>
      <c r="P2903" s="2"/>
    </row>
    <row r="2904" spans="1:16" x14ac:dyDescent="0.25">
      <c r="A2904" s="2"/>
      <c r="B2904" s="2"/>
      <c r="F2904" s="1"/>
      <c r="G2904" s="1"/>
      <c r="I2904" s="1"/>
      <c r="J2904" s="1"/>
      <c r="L2904" s="1"/>
      <c r="M2904" s="1"/>
      <c r="O2904" s="2"/>
      <c r="P2904" s="2"/>
    </row>
    <row r="2905" spans="1:16" x14ac:dyDescent="0.25">
      <c r="A2905" s="2"/>
      <c r="B2905" s="2"/>
      <c r="F2905" s="1"/>
      <c r="G2905" s="1"/>
      <c r="I2905" s="1"/>
      <c r="J2905" s="1"/>
      <c r="L2905" s="1"/>
      <c r="M2905" s="1"/>
      <c r="O2905" s="2"/>
      <c r="P2905" s="2"/>
    </row>
    <row r="2906" spans="1:16" x14ac:dyDescent="0.25">
      <c r="A2906" s="2"/>
      <c r="B2906" s="2"/>
      <c r="F2906" s="1"/>
      <c r="G2906" s="1"/>
      <c r="I2906" s="1"/>
      <c r="J2906" s="1"/>
      <c r="L2906" s="1"/>
      <c r="M2906" s="1"/>
      <c r="O2906" s="2"/>
      <c r="P2906" s="2"/>
    </row>
    <row r="2907" spans="1:16" x14ac:dyDescent="0.25">
      <c r="A2907" s="2"/>
      <c r="B2907" s="2"/>
      <c r="F2907" s="1"/>
      <c r="G2907" s="1"/>
      <c r="I2907" s="1"/>
      <c r="J2907" s="1"/>
      <c r="L2907" s="1"/>
      <c r="M2907" s="1"/>
      <c r="O2907" s="2"/>
      <c r="P2907" s="2"/>
    </row>
    <row r="2908" spans="1:16" x14ac:dyDescent="0.25">
      <c r="A2908" s="2"/>
      <c r="B2908" s="2"/>
      <c r="F2908" s="1"/>
      <c r="G2908" s="1"/>
      <c r="I2908" s="1"/>
      <c r="J2908" s="1"/>
      <c r="L2908" s="1"/>
      <c r="M2908" s="1"/>
      <c r="O2908" s="2"/>
      <c r="P2908" s="2"/>
    </row>
    <row r="2909" spans="1:16" x14ac:dyDescent="0.25">
      <c r="A2909" s="2"/>
      <c r="B2909" s="2"/>
      <c r="F2909" s="1"/>
      <c r="G2909" s="1"/>
      <c r="I2909" s="1"/>
      <c r="J2909" s="1"/>
      <c r="L2909" s="1"/>
      <c r="M2909" s="1"/>
      <c r="O2909" s="2"/>
      <c r="P2909" s="2"/>
    </row>
    <row r="2910" spans="1:16" x14ac:dyDescent="0.25">
      <c r="A2910" s="2"/>
      <c r="B2910" s="2"/>
      <c r="F2910" s="1"/>
      <c r="G2910" s="1"/>
      <c r="I2910" s="1"/>
      <c r="J2910" s="1"/>
      <c r="L2910" s="1"/>
      <c r="M2910" s="1"/>
      <c r="O2910" s="2"/>
      <c r="P2910" s="2"/>
    </row>
    <row r="2911" spans="1:16" x14ac:dyDescent="0.25">
      <c r="A2911" s="2"/>
      <c r="B2911" s="2"/>
      <c r="F2911" s="1"/>
      <c r="G2911" s="1"/>
      <c r="I2911" s="1"/>
      <c r="J2911" s="1"/>
      <c r="L2911" s="1"/>
      <c r="M2911" s="1"/>
      <c r="O2911" s="2"/>
      <c r="P2911" s="2"/>
    </row>
    <row r="2912" spans="1:16" x14ac:dyDescent="0.25">
      <c r="A2912" s="2"/>
      <c r="B2912" s="2"/>
      <c r="F2912" s="1"/>
      <c r="G2912" s="1"/>
      <c r="I2912" s="1"/>
      <c r="J2912" s="1"/>
      <c r="L2912" s="1"/>
      <c r="M2912" s="1"/>
      <c r="O2912" s="2"/>
      <c r="P2912" s="2"/>
    </row>
    <row r="2913" spans="1:16" x14ac:dyDescent="0.25">
      <c r="A2913" s="2"/>
      <c r="B2913" s="2"/>
      <c r="F2913" s="1"/>
      <c r="G2913" s="1"/>
      <c r="I2913" s="1"/>
      <c r="J2913" s="1"/>
      <c r="L2913" s="1"/>
      <c r="M2913" s="1"/>
      <c r="O2913" s="2"/>
      <c r="P2913" s="2"/>
    </row>
    <row r="2914" spans="1:16" x14ac:dyDescent="0.25">
      <c r="A2914" s="2"/>
      <c r="B2914" s="2"/>
      <c r="F2914" s="1"/>
      <c r="G2914" s="1"/>
      <c r="I2914" s="1"/>
      <c r="J2914" s="1"/>
      <c r="L2914" s="1"/>
      <c r="M2914" s="1"/>
      <c r="O2914" s="2"/>
      <c r="P2914" s="2"/>
    </row>
    <row r="2915" spans="1:16" x14ac:dyDescent="0.25">
      <c r="A2915" s="2"/>
      <c r="B2915" s="2"/>
      <c r="F2915" s="1"/>
      <c r="G2915" s="1"/>
      <c r="I2915" s="1"/>
      <c r="J2915" s="1"/>
      <c r="L2915" s="1"/>
      <c r="M2915" s="1"/>
      <c r="O2915" s="2"/>
      <c r="P2915" s="2"/>
    </row>
    <row r="2916" spans="1:16" x14ac:dyDescent="0.25">
      <c r="A2916" s="2"/>
      <c r="B2916" s="2"/>
      <c r="F2916" s="1"/>
      <c r="G2916" s="1"/>
      <c r="I2916" s="1"/>
      <c r="J2916" s="1"/>
      <c r="L2916" s="1"/>
      <c r="M2916" s="1"/>
      <c r="O2916" s="2"/>
      <c r="P2916" s="2"/>
    </row>
    <row r="2917" spans="1:16" x14ac:dyDescent="0.25">
      <c r="A2917" s="2"/>
      <c r="B2917" s="2"/>
      <c r="F2917" s="1"/>
      <c r="G2917" s="1"/>
      <c r="I2917" s="1"/>
      <c r="J2917" s="1"/>
      <c r="L2917" s="1"/>
      <c r="M2917" s="1"/>
      <c r="O2917" s="2"/>
      <c r="P2917" s="2"/>
    </row>
    <row r="2918" spans="1:16" x14ac:dyDescent="0.25">
      <c r="A2918" s="2"/>
      <c r="B2918" s="2"/>
      <c r="F2918" s="1"/>
      <c r="G2918" s="1"/>
      <c r="I2918" s="1"/>
      <c r="J2918" s="1"/>
      <c r="L2918" s="1"/>
      <c r="M2918" s="1"/>
      <c r="O2918" s="2"/>
      <c r="P2918" s="2"/>
    </row>
    <row r="2919" spans="1:16" x14ac:dyDescent="0.25">
      <c r="A2919" s="2"/>
      <c r="B2919" s="2"/>
      <c r="F2919" s="1"/>
      <c r="G2919" s="1"/>
      <c r="I2919" s="1"/>
      <c r="J2919" s="1"/>
      <c r="L2919" s="1"/>
      <c r="M2919" s="1"/>
      <c r="O2919" s="2"/>
      <c r="P2919" s="2"/>
    </row>
    <row r="2920" spans="1:16" x14ac:dyDescent="0.25">
      <c r="A2920" s="2"/>
      <c r="B2920" s="2"/>
      <c r="F2920" s="1"/>
      <c r="G2920" s="1"/>
      <c r="I2920" s="1"/>
      <c r="J2920" s="1"/>
      <c r="L2920" s="1"/>
      <c r="M2920" s="1"/>
      <c r="O2920" s="2"/>
      <c r="P2920" s="2"/>
    </row>
    <row r="2921" spans="1:16" x14ac:dyDescent="0.25">
      <c r="A2921" s="2"/>
      <c r="B2921" s="2"/>
      <c r="F2921" s="1"/>
      <c r="G2921" s="1"/>
      <c r="I2921" s="1"/>
      <c r="J2921" s="1"/>
      <c r="L2921" s="1"/>
      <c r="M2921" s="1"/>
      <c r="O2921" s="2"/>
      <c r="P2921" s="2"/>
    </row>
    <row r="2922" spans="1:16" x14ac:dyDescent="0.25">
      <c r="A2922" s="2"/>
      <c r="B2922" s="2"/>
      <c r="F2922" s="1"/>
      <c r="G2922" s="1"/>
      <c r="I2922" s="1"/>
      <c r="J2922" s="1"/>
      <c r="L2922" s="1"/>
      <c r="M2922" s="1"/>
      <c r="O2922" s="2"/>
      <c r="P2922" s="2"/>
    </row>
    <row r="2923" spans="1:16" x14ac:dyDescent="0.25">
      <c r="A2923" s="2"/>
      <c r="B2923" s="2"/>
      <c r="F2923" s="1"/>
      <c r="G2923" s="1"/>
      <c r="I2923" s="1"/>
      <c r="J2923" s="1"/>
      <c r="L2923" s="1"/>
      <c r="M2923" s="1"/>
      <c r="O2923" s="2"/>
      <c r="P2923" s="2"/>
    </row>
    <row r="2924" spans="1:16" x14ac:dyDescent="0.25">
      <c r="A2924" s="2"/>
      <c r="B2924" s="2"/>
      <c r="F2924" s="1"/>
      <c r="G2924" s="1"/>
      <c r="I2924" s="1"/>
      <c r="J2924" s="1"/>
      <c r="L2924" s="1"/>
      <c r="M2924" s="1"/>
      <c r="O2924" s="2"/>
      <c r="P2924" s="2"/>
    </row>
    <row r="2925" spans="1:16" x14ac:dyDescent="0.25">
      <c r="A2925" s="2"/>
      <c r="B2925" s="2"/>
      <c r="F2925" s="1"/>
      <c r="G2925" s="1"/>
      <c r="I2925" s="1"/>
      <c r="J2925" s="1"/>
      <c r="L2925" s="1"/>
      <c r="M2925" s="1"/>
      <c r="O2925" s="2"/>
      <c r="P2925" s="2"/>
    </row>
    <row r="2926" spans="1:16" x14ac:dyDescent="0.25">
      <c r="A2926" s="2"/>
      <c r="B2926" s="2"/>
      <c r="F2926" s="1"/>
      <c r="G2926" s="1"/>
      <c r="I2926" s="1"/>
      <c r="J2926" s="1"/>
      <c r="L2926" s="1"/>
      <c r="M2926" s="1"/>
      <c r="O2926" s="2"/>
      <c r="P2926" s="2"/>
    </row>
    <row r="2927" spans="1:16" x14ac:dyDescent="0.25">
      <c r="A2927" s="2"/>
      <c r="B2927" s="2"/>
      <c r="F2927" s="1"/>
      <c r="G2927" s="1"/>
      <c r="I2927" s="1"/>
      <c r="J2927" s="1"/>
      <c r="L2927" s="1"/>
      <c r="M2927" s="1"/>
      <c r="O2927" s="2"/>
      <c r="P2927" s="2"/>
    </row>
    <row r="2928" spans="1:16" x14ac:dyDescent="0.25">
      <c r="A2928" s="2"/>
      <c r="B2928" s="2"/>
      <c r="F2928" s="1"/>
      <c r="G2928" s="1"/>
      <c r="I2928" s="1"/>
      <c r="J2928" s="1"/>
      <c r="L2928" s="1"/>
      <c r="M2928" s="1"/>
      <c r="O2928" s="2"/>
      <c r="P2928" s="2"/>
    </row>
    <row r="2929" spans="1:16" x14ac:dyDescent="0.25">
      <c r="A2929" s="2"/>
      <c r="B2929" s="2"/>
      <c r="F2929" s="1"/>
      <c r="G2929" s="1"/>
      <c r="I2929" s="1"/>
      <c r="J2929" s="1"/>
      <c r="L2929" s="1"/>
      <c r="M2929" s="1"/>
      <c r="O2929" s="2"/>
      <c r="P2929" s="2"/>
    </row>
    <row r="2930" spans="1:16" x14ac:dyDescent="0.25">
      <c r="A2930" s="2"/>
      <c r="B2930" s="2"/>
      <c r="F2930" s="1"/>
      <c r="G2930" s="1"/>
      <c r="I2930" s="1"/>
      <c r="J2930" s="1"/>
      <c r="L2930" s="1"/>
      <c r="M2930" s="1"/>
      <c r="O2930" s="2"/>
      <c r="P2930" s="2"/>
    </row>
    <row r="2931" spans="1:16" x14ac:dyDescent="0.25">
      <c r="A2931" s="2"/>
      <c r="B2931" s="2"/>
      <c r="F2931" s="1"/>
      <c r="G2931" s="1"/>
      <c r="I2931" s="1"/>
      <c r="J2931" s="1"/>
      <c r="L2931" s="1"/>
      <c r="M2931" s="1"/>
      <c r="O2931" s="2"/>
      <c r="P2931" s="2"/>
    </row>
    <row r="2932" spans="1:16" x14ac:dyDescent="0.25">
      <c r="A2932" s="2"/>
      <c r="B2932" s="2"/>
      <c r="F2932" s="1"/>
      <c r="G2932" s="1"/>
      <c r="I2932" s="1"/>
      <c r="J2932" s="1"/>
      <c r="L2932" s="1"/>
      <c r="M2932" s="1"/>
      <c r="O2932" s="2"/>
      <c r="P2932" s="2"/>
    </row>
    <row r="2933" spans="1:16" x14ac:dyDescent="0.25">
      <c r="A2933" s="2"/>
      <c r="B2933" s="2"/>
      <c r="F2933" s="1"/>
      <c r="G2933" s="1"/>
      <c r="I2933" s="1"/>
      <c r="J2933" s="1"/>
      <c r="L2933" s="1"/>
      <c r="M2933" s="1"/>
      <c r="O2933" s="2"/>
      <c r="P2933" s="2"/>
    </row>
    <row r="2934" spans="1:16" x14ac:dyDescent="0.25">
      <c r="A2934" s="2"/>
      <c r="B2934" s="2"/>
      <c r="F2934" s="1"/>
      <c r="G2934" s="1"/>
      <c r="I2934" s="1"/>
      <c r="J2934" s="1"/>
      <c r="L2934" s="1"/>
      <c r="M2934" s="1"/>
      <c r="O2934" s="2"/>
      <c r="P2934" s="2"/>
    </row>
    <row r="2935" spans="1:16" x14ac:dyDescent="0.25">
      <c r="A2935" s="2"/>
      <c r="B2935" s="2"/>
      <c r="F2935" s="1"/>
      <c r="G2935" s="1"/>
      <c r="I2935" s="1"/>
      <c r="J2935" s="1"/>
      <c r="L2935" s="1"/>
      <c r="M2935" s="1"/>
      <c r="O2935" s="2"/>
      <c r="P2935" s="2"/>
    </row>
    <row r="2936" spans="1:16" x14ac:dyDescent="0.25">
      <c r="A2936" s="2"/>
      <c r="B2936" s="2"/>
      <c r="F2936" s="1"/>
      <c r="G2936" s="1"/>
      <c r="I2936" s="1"/>
      <c r="J2936" s="1"/>
      <c r="L2936" s="1"/>
      <c r="M2936" s="1"/>
      <c r="O2936" s="2"/>
      <c r="P2936" s="2"/>
    </row>
    <row r="2937" spans="1:16" x14ac:dyDescent="0.25">
      <c r="A2937" s="2"/>
      <c r="B2937" s="2"/>
      <c r="F2937" s="1"/>
      <c r="G2937" s="1"/>
      <c r="I2937" s="1"/>
      <c r="J2937" s="1"/>
      <c r="L2937" s="1"/>
      <c r="M2937" s="1"/>
      <c r="O2937" s="2"/>
      <c r="P2937" s="2"/>
    </row>
    <row r="2938" spans="1:16" x14ac:dyDescent="0.25">
      <c r="A2938" s="2"/>
      <c r="B2938" s="2"/>
      <c r="F2938" s="1"/>
      <c r="G2938" s="1"/>
      <c r="I2938" s="1"/>
      <c r="J2938" s="1"/>
      <c r="L2938" s="1"/>
      <c r="M2938" s="1"/>
      <c r="O2938" s="2"/>
      <c r="P2938" s="2"/>
    </row>
    <row r="2939" spans="1:16" x14ac:dyDescent="0.25">
      <c r="A2939" s="2"/>
      <c r="B2939" s="2"/>
      <c r="F2939" s="1"/>
      <c r="G2939" s="1"/>
      <c r="I2939" s="1"/>
      <c r="J2939" s="1"/>
      <c r="L2939" s="1"/>
      <c r="M2939" s="1"/>
      <c r="O2939" s="2"/>
      <c r="P2939" s="2"/>
    </row>
    <row r="2940" spans="1:16" x14ac:dyDescent="0.25">
      <c r="A2940" s="2"/>
      <c r="B2940" s="2"/>
      <c r="F2940" s="1"/>
      <c r="G2940" s="1"/>
      <c r="I2940" s="1"/>
      <c r="J2940" s="1"/>
      <c r="L2940" s="1"/>
      <c r="M2940" s="1"/>
      <c r="O2940" s="2"/>
      <c r="P2940" s="2"/>
    </row>
    <row r="2941" spans="1:16" x14ac:dyDescent="0.25">
      <c r="A2941" s="2"/>
      <c r="B2941" s="2"/>
      <c r="F2941" s="1"/>
      <c r="G2941" s="1"/>
      <c r="I2941" s="1"/>
      <c r="J2941" s="1"/>
      <c r="L2941" s="1"/>
      <c r="M2941" s="1"/>
      <c r="O2941" s="2"/>
      <c r="P2941" s="2"/>
    </row>
    <row r="2942" spans="1:16" x14ac:dyDescent="0.25">
      <c r="A2942" s="2"/>
      <c r="B2942" s="2"/>
      <c r="F2942" s="1"/>
      <c r="G2942" s="1"/>
      <c r="I2942" s="1"/>
      <c r="J2942" s="1"/>
      <c r="L2942" s="1"/>
      <c r="M2942" s="1"/>
      <c r="O2942" s="2"/>
      <c r="P2942" s="2"/>
    </row>
    <row r="2943" spans="1:16" x14ac:dyDescent="0.25">
      <c r="A2943" s="2"/>
      <c r="B2943" s="2"/>
      <c r="F2943" s="1"/>
      <c r="G2943" s="1"/>
      <c r="I2943" s="1"/>
      <c r="J2943" s="1"/>
      <c r="L2943" s="1"/>
      <c r="M2943" s="1"/>
      <c r="O2943" s="2"/>
      <c r="P2943" s="2"/>
    </row>
    <row r="2944" spans="1:16" x14ac:dyDescent="0.25">
      <c r="A2944" s="2"/>
      <c r="B2944" s="2"/>
      <c r="F2944" s="1"/>
      <c r="G2944" s="1"/>
      <c r="I2944" s="1"/>
      <c r="J2944" s="1"/>
      <c r="L2944" s="1"/>
      <c r="M2944" s="1"/>
      <c r="O2944" s="2"/>
      <c r="P2944" s="2"/>
    </row>
    <row r="2945" spans="1:16" x14ac:dyDescent="0.25">
      <c r="A2945" s="2"/>
      <c r="B2945" s="2"/>
      <c r="F2945" s="1"/>
      <c r="G2945" s="1"/>
      <c r="I2945" s="1"/>
      <c r="J2945" s="1"/>
      <c r="L2945" s="1"/>
      <c r="M2945" s="1"/>
      <c r="O2945" s="2"/>
      <c r="P2945" s="2"/>
    </row>
    <row r="2946" spans="1:16" x14ac:dyDescent="0.25">
      <c r="A2946" s="2"/>
      <c r="B2946" s="2"/>
      <c r="F2946" s="1"/>
      <c r="G2946" s="1"/>
      <c r="I2946" s="1"/>
      <c r="J2946" s="1"/>
      <c r="L2946" s="1"/>
      <c r="M2946" s="1"/>
      <c r="O2946" s="2"/>
      <c r="P2946" s="2"/>
    </row>
    <row r="2947" spans="1:16" x14ac:dyDescent="0.25">
      <c r="A2947" s="2"/>
      <c r="B2947" s="2"/>
      <c r="F2947" s="1"/>
      <c r="G2947" s="1"/>
      <c r="I2947" s="1"/>
      <c r="J2947" s="1"/>
      <c r="L2947" s="1"/>
      <c r="M2947" s="1"/>
      <c r="O2947" s="2"/>
      <c r="P2947" s="2"/>
    </row>
    <row r="2948" spans="1:16" x14ac:dyDescent="0.25">
      <c r="A2948" s="2"/>
      <c r="B2948" s="2"/>
      <c r="F2948" s="1"/>
      <c r="G2948" s="1"/>
      <c r="I2948" s="1"/>
      <c r="J2948" s="1"/>
      <c r="L2948" s="1"/>
      <c r="M2948" s="1"/>
      <c r="O2948" s="2"/>
      <c r="P2948" s="2"/>
    </row>
    <row r="2949" spans="1:16" x14ac:dyDescent="0.25">
      <c r="A2949" s="2"/>
      <c r="B2949" s="2"/>
      <c r="F2949" s="1"/>
      <c r="G2949" s="1"/>
      <c r="I2949" s="1"/>
      <c r="J2949" s="1"/>
      <c r="L2949" s="1"/>
      <c r="M2949" s="1"/>
      <c r="O2949" s="2"/>
      <c r="P2949" s="2"/>
    </row>
    <row r="2950" spans="1:16" x14ac:dyDescent="0.25">
      <c r="A2950" s="2"/>
      <c r="B2950" s="2"/>
      <c r="F2950" s="1"/>
      <c r="G2950" s="1"/>
      <c r="I2950" s="1"/>
      <c r="J2950" s="1"/>
      <c r="L2950" s="1"/>
      <c r="M2950" s="1"/>
      <c r="O2950" s="2"/>
      <c r="P2950" s="2"/>
    </row>
    <row r="2951" spans="1:16" x14ac:dyDescent="0.25">
      <c r="A2951" s="2"/>
      <c r="B2951" s="2"/>
      <c r="F2951" s="1"/>
      <c r="G2951" s="1"/>
      <c r="I2951" s="1"/>
      <c r="J2951" s="1"/>
      <c r="L2951" s="1"/>
      <c r="M2951" s="1"/>
      <c r="O2951" s="2"/>
      <c r="P2951" s="2"/>
    </row>
    <row r="2952" spans="1:16" x14ac:dyDescent="0.25">
      <c r="A2952" s="2"/>
      <c r="B2952" s="2"/>
      <c r="F2952" s="1"/>
      <c r="G2952" s="1"/>
      <c r="I2952" s="1"/>
      <c r="J2952" s="1"/>
      <c r="L2952" s="1"/>
      <c r="M2952" s="1"/>
      <c r="O2952" s="2"/>
      <c r="P2952" s="2"/>
    </row>
    <row r="2953" spans="1:16" x14ac:dyDescent="0.25">
      <c r="A2953" s="2"/>
      <c r="B2953" s="2"/>
      <c r="F2953" s="1"/>
      <c r="G2953" s="1"/>
      <c r="I2953" s="1"/>
      <c r="J2953" s="1"/>
      <c r="L2953" s="1"/>
      <c r="M2953" s="1"/>
      <c r="O2953" s="2"/>
      <c r="P2953" s="2"/>
    </row>
    <row r="2954" spans="1:16" x14ac:dyDescent="0.25">
      <c r="A2954" s="2"/>
      <c r="B2954" s="2"/>
      <c r="F2954" s="1"/>
      <c r="G2954" s="1"/>
      <c r="I2954" s="1"/>
      <c r="J2954" s="1"/>
      <c r="L2954" s="1"/>
      <c r="M2954" s="1"/>
      <c r="O2954" s="2"/>
      <c r="P2954" s="2"/>
    </row>
    <row r="2955" spans="1:16" x14ac:dyDescent="0.25">
      <c r="A2955" s="2"/>
      <c r="B2955" s="2"/>
      <c r="F2955" s="1"/>
      <c r="G2955" s="1"/>
      <c r="I2955" s="1"/>
      <c r="J2955" s="1"/>
      <c r="L2955" s="1"/>
      <c r="M2955" s="1"/>
      <c r="O2955" s="2"/>
      <c r="P2955" s="2"/>
    </row>
    <row r="2956" spans="1:16" x14ac:dyDescent="0.25">
      <c r="A2956" s="2"/>
      <c r="B2956" s="2"/>
      <c r="F2956" s="1"/>
      <c r="G2956" s="1"/>
      <c r="I2956" s="1"/>
      <c r="J2956" s="1"/>
      <c r="L2956" s="1"/>
      <c r="M2956" s="1"/>
      <c r="O2956" s="2"/>
      <c r="P2956" s="2"/>
    </row>
    <row r="2957" spans="1:16" x14ac:dyDescent="0.25">
      <c r="A2957" s="2"/>
      <c r="B2957" s="2"/>
      <c r="F2957" s="1"/>
      <c r="G2957" s="1"/>
      <c r="I2957" s="1"/>
      <c r="J2957" s="1"/>
      <c r="L2957" s="1"/>
      <c r="M2957" s="1"/>
      <c r="O2957" s="2"/>
      <c r="P2957" s="2"/>
    </row>
    <row r="2958" spans="1:16" x14ac:dyDescent="0.25">
      <c r="A2958" s="2"/>
      <c r="B2958" s="2"/>
      <c r="F2958" s="1"/>
      <c r="G2958" s="1"/>
      <c r="I2958" s="1"/>
      <c r="J2958" s="1"/>
      <c r="L2958" s="1"/>
      <c r="M2958" s="1"/>
      <c r="O2958" s="2"/>
      <c r="P2958" s="2"/>
    </row>
    <row r="2959" spans="1:16" x14ac:dyDescent="0.25">
      <c r="A2959" s="2"/>
      <c r="B2959" s="2"/>
      <c r="F2959" s="1"/>
      <c r="G2959" s="1"/>
      <c r="I2959" s="1"/>
      <c r="J2959" s="1"/>
      <c r="L2959" s="1"/>
      <c r="M2959" s="1"/>
      <c r="O2959" s="2"/>
      <c r="P2959" s="2"/>
    </row>
    <row r="2960" spans="1:16" x14ac:dyDescent="0.25">
      <c r="A2960" s="2"/>
      <c r="B2960" s="2"/>
      <c r="F2960" s="1"/>
      <c r="G2960" s="1"/>
      <c r="I2960" s="1"/>
      <c r="J2960" s="1"/>
      <c r="L2960" s="1"/>
      <c r="M2960" s="1"/>
      <c r="O2960" s="2"/>
      <c r="P2960" s="2"/>
    </row>
    <row r="2961" spans="1:16" x14ac:dyDescent="0.25">
      <c r="A2961" s="2"/>
      <c r="B2961" s="2"/>
      <c r="F2961" s="1"/>
      <c r="G2961" s="1"/>
      <c r="I2961" s="1"/>
      <c r="J2961" s="1"/>
      <c r="L2961" s="1"/>
      <c r="M2961" s="1"/>
      <c r="O2961" s="2"/>
      <c r="P2961" s="2"/>
    </row>
    <row r="2962" spans="1:16" x14ac:dyDescent="0.25">
      <c r="A2962" s="2"/>
      <c r="B2962" s="2"/>
      <c r="F2962" s="1"/>
      <c r="G2962" s="1"/>
      <c r="I2962" s="1"/>
      <c r="J2962" s="1"/>
      <c r="L2962" s="1"/>
      <c r="M2962" s="1"/>
      <c r="O2962" s="2"/>
      <c r="P2962" s="2"/>
    </row>
    <row r="2963" spans="1:16" x14ac:dyDescent="0.25">
      <c r="A2963" s="2"/>
      <c r="B2963" s="2"/>
      <c r="F2963" s="1"/>
      <c r="G2963" s="1"/>
      <c r="I2963" s="1"/>
      <c r="J2963" s="1"/>
      <c r="L2963" s="1"/>
      <c r="M2963" s="1"/>
      <c r="O2963" s="2"/>
      <c r="P2963" s="2"/>
    </row>
    <row r="2964" spans="1:16" x14ac:dyDescent="0.25">
      <c r="A2964" s="2"/>
      <c r="B2964" s="2"/>
      <c r="F2964" s="1"/>
      <c r="G2964" s="1"/>
      <c r="I2964" s="1"/>
      <c r="J2964" s="1"/>
      <c r="L2964" s="1"/>
      <c r="M2964" s="1"/>
      <c r="O2964" s="2"/>
      <c r="P2964" s="2"/>
    </row>
    <row r="2965" spans="1:16" x14ac:dyDescent="0.25">
      <c r="A2965" s="2"/>
      <c r="B2965" s="2"/>
      <c r="F2965" s="1"/>
      <c r="G2965" s="1"/>
      <c r="I2965" s="1"/>
      <c r="J2965" s="1"/>
      <c r="L2965" s="1"/>
      <c r="M2965" s="1"/>
      <c r="O2965" s="2"/>
      <c r="P2965" s="2"/>
    </row>
    <row r="2966" spans="1:16" x14ac:dyDescent="0.25">
      <c r="A2966" s="2"/>
      <c r="B2966" s="2"/>
      <c r="F2966" s="1"/>
      <c r="G2966" s="1"/>
      <c r="I2966" s="1"/>
      <c r="J2966" s="1"/>
      <c r="L2966" s="1"/>
      <c r="M2966" s="1"/>
      <c r="O2966" s="2"/>
      <c r="P2966" s="2"/>
    </row>
    <row r="2967" spans="1:16" x14ac:dyDescent="0.25">
      <c r="A2967" s="2"/>
      <c r="B2967" s="2"/>
      <c r="F2967" s="1"/>
      <c r="G2967" s="1"/>
      <c r="I2967" s="1"/>
      <c r="J2967" s="1"/>
      <c r="L2967" s="1"/>
      <c r="M2967" s="1"/>
      <c r="O2967" s="2"/>
      <c r="P2967" s="2"/>
    </row>
    <row r="2968" spans="1:16" x14ac:dyDescent="0.25">
      <c r="A2968" s="2"/>
      <c r="B2968" s="2"/>
      <c r="F2968" s="1"/>
      <c r="G2968" s="1"/>
      <c r="I2968" s="1"/>
      <c r="J2968" s="1"/>
      <c r="L2968" s="1"/>
      <c r="M2968" s="1"/>
      <c r="O2968" s="2"/>
      <c r="P2968" s="2"/>
    </row>
    <row r="2969" spans="1:16" x14ac:dyDescent="0.25">
      <c r="A2969" s="2"/>
      <c r="B2969" s="2"/>
      <c r="F2969" s="1"/>
      <c r="G2969" s="1"/>
      <c r="I2969" s="1"/>
      <c r="J2969" s="1"/>
      <c r="L2969" s="1"/>
      <c r="M2969" s="1"/>
      <c r="O2969" s="2"/>
      <c r="P2969" s="2"/>
    </row>
    <row r="2970" spans="1:16" x14ac:dyDescent="0.25">
      <c r="A2970" s="2"/>
      <c r="B2970" s="2"/>
      <c r="F2970" s="1"/>
      <c r="G2970" s="1"/>
      <c r="I2970" s="1"/>
      <c r="J2970" s="1"/>
      <c r="L2970" s="1"/>
      <c r="M2970" s="1"/>
      <c r="O2970" s="2"/>
      <c r="P2970" s="2"/>
    </row>
    <row r="2971" spans="1:16" x14ac:dyDescent="0.25">
      <c r="A2971" s="2"/>
      <c r="B2971" s="2"/>
      <c r="F2971" s="1"/>
      <c r="G2971" s="1"/>
      <c r="I2971" s="1"/>
      <c r="J2971" s="1"/>
      <c r="L2971" s="1"/>
      <c r="M2971" s="1"/>
      <c r="O2971" s="2"/>
      <c r="P2971" s="2"/>
    </row>
    <row r="2972" spans="1:16" x14ac:dyDescent="0.25">
      <c r="A2972" s="2"/>
      <c r="B2972" s="2"/>
      <c r="F2972" s="1"/>
      <c r="G2972" s="1"/>
      <c r="I2972" s="1"/>
      <c r="J2972" s="1"/>
      <c r="L2972" s="1"/>
      <c r="M2972" s="1"/>
      <c r="O2972" s="2"/>
      <c r="P2972" s="2"/>
    </row>
    <row r="2973" spans="1:16" x14ac:dyDescent="0.25">
      <c r="A2973" s="2"/>
      <c r="B2973" s="2"/>
      <c r="F2973" s="1"/>
      <c r="G2973" s="1"/>
      <c r="I2973" s="1"/>
      <c r="J2973" s="1"/>
      <c r="L2973" s="1"/>
      <c r="M2973" s="1"/>
      <c r="O2973" s="2"/>
      <c r="P2973" s="2"/>
    </row>
    <row r="2974" spans="1:16" x14ac:dyDescent="0.25">
      <c r="A2974" s="2"/>
      <c r="B2974" s="2"/>
      <c r="F2974" s="1"/>
      <c r="G2974" s="1"/>
      <c r="I2974" s="1"/>
      <c r="J2974" s="1"/>
      <c r="L2974" s="1"/>
      <c r="M2974" s="1"/>
      <c r="O2974" s="2"/>
      <c r="P2974" s="2"/>
    </row>
    <row r="2975" spans="1:16" x14ac:dyDescent="0.25">
      <c r="A2975" s="2"/>
      <c r="B2975" s="2"/>
      <c r="F2975" s="1"/>
      <c r="G2975" s="1"/>
      <c r="I2975" s="1"/>
      <c r="J2975" s="1"/>
      <c r="L2975" s="1"/>
      <c r="M2975" s="1"/>
      <c r="O2975" s="2"/>
      <c r="P2975" s="2"/>
    </row>
    <row r="2976" spans="1:16" x14ac:dyDescent="0.25">
      <c r="A2976" s="2"/>
      <c r="B2976" s="2"/>
      <c r="F2976" s="1"/>
      <c r="G2976" s="1"/>
      <c r="I2976" s="1"/>
      <c r="J2976" s="1"/>
      <c r="L2976" s="1"/>
      <c r="M2976" s="1"/>
      <c r="O2976" s="2"/>
      <c r="P2976" s="2"/>
    </row>
    <row r="2977" spans="1:16" x14ac:dyDescent="0.25">
      <c r="A2977" s="2"/>
      <c r="B2977" s="2"/>
      <c r="F2977" s="1"/>
      <c r="G2977" s="1"/>
      <c r="I2977" s="1"/>
      <c r="J2977" s="1"/>
      <c r="L2977" s="1"/>
      <c r="M2977" s="1"/>
      <c r="O2977" s="2"/>
      <c r="P2977" s="2"/>
    </row>
    <row r="2978" spans="1:16" x14ac:dyDescent="0.25">
      <c r="A2978" s="2"/>
      <c r="B2978" s="2"/>
      <c r="F2978" s="1"/>
      <c r="G2978" s="1"/>
      <c r="I2978" s="1"/>
      <c r="J2978" s="1"/>
      <c r="L2978" s="1"/>
      <c r="M2978" s="1"/>
      <c r="O2978" s="2"/>
      <c r="P2978" s="2"/>
    </row>
    <row r="2979" spans="1:16" x14ac:dyDescent="0.25">
      <c r="A2979" s="2"/>
      <c r="B2979" s="2"/>
      <c r="F2979" s="1"/>
      <c r="G2979" s="1"/>
      <c r="I2979" s="1"/>
      <c r="J2979" s="1"/>
      <c r="L2979" s="1"/>
      <c r="M2979" s="1"/>
      <c r="O2979" s="2"/>
      <c r="P2979" s="2"/>
    </row>
    <row r="2980" spans="1:16" x14ac:dyDescent="0.25">
      <c r="A2980" s="2"/>
      <c r="B2980" s="2"/>
      <c r="F2980" s="1"/>
      <c r="G2980" s="1"/>
      <c r="I2980" s="1"/>
      <c r="J2980" s="1"/>
      <c r="L2980" s="1"/>
      <c r="M2980" s="1"/>
      <c r="O2980" s="2"/>
      <c r="P2980" s="2"/>
    </row>
    <row r="2981" spans="1:16" x14ac:dyDescent="0.25">
      <c r="A2981" s="2"/>
      <c r="B2981" s="2"/>
      <c r="F2981" s="1"/>
      <c r="G2981" s="1"/>
      <c r="I2981" s="1"/>
      <c r="J2981" s="1"/>
      <c r="L2981" s="1"/>
      <c r="M2981" s="1"/>
      <c r="O2981" s="2"/>
      <c r="P2981" s="2"/>
    </row>
    <row r="2982" spans="1:16" x14ac:dyDescent="0.25">
      <c r="A2982" s="2"/>
      <c r="B2982" s="2"/>
      <c r="F2982" s="1"/>
      <c r="G2982" s="1"/>
      <c r="I2982" s="1"/>
      <c r="J2982" s="1"/>
      <c r="L2982" s="1"/>
      <c r="M2982" s="1"/>
      <c r="O2982" s="2"/>
      <c r="P2982" s="2"/>
    </row>
    <row r="2983" spans="1:16" x14ac:dyDescent="0.25">
      <c r="A2983" s="2"/>
      <c r="B2983" s="2"/>
      <c r="F2983" s="1"/>
      <c r="G2983" s="1"/>
      <c r="I2983" s="1"/>
      <c r="J2983" s="1"/>
      <c r="L2983" s="1"/>
      <c r="M2983" s="1"/>
      <c r="O2983" s="2"/>
      <c r="P2983" s="2"/>
    </row>
    <row r="2984" spans="1:16" x14ac:dyDescent="0.25">
      <c r="A2984" s="2"/>
      <c r="B2984" s="2"/>
      <c r="F2984" s="1"/>
      <c r="G2984" s="1"/>
      <c r="I2984" s="1"/>
      <c r="J2984" s="1"/>
      <c r="L2984" s="1"/>
      <c r="M2984" s="1"/>
      <c r="O2984" s="2"/>
      <c r="P2984" s="2"/>
    </row>
    <row r="2985" spans="1:16" x14ac:dyDescent="0.25">
      <c r="A2985" s="2"/>
      <c r="B2985" s="2"/>
      <c r="F2985" s="1"/>
      <c r="G2985" s="1"/>
      <c r="I2985" s="1"/>
      <c r="J2985" s="1"/>
      <c r="L2985" s="1"/>
      <c r="M2985" s="1"/>
      <c r="O2985" s="2"/>
      <c r="P2985" s="2"/>
    </row>
    <row r="2986" spans="1:16" x14ac:dyDescent="0.25">
      <c r="A2986" s="2"/>
      <c r="B2986" s="2"/>
      <c r="F2986" s="1"/>
      <c r="G2986" s="1"/>
      <c r="I2986" s="1"/>
      <c r="J2986" s="1"/>
      <c r="L2986" s="1"/>
      <c r="M2986" s="1"/>
      <c r="O2986" s="2"/>
      <c r="P2986" s="2"/>
    </row>
    <row r="2987" spans="1:16" x14ac:dyDescent="0.25">
      <c r="A2987" s="2"/>
      <c r="B2987" s="2"/>
      <c r="F2987" s="1"/>
      <c r="G2987" s="1"/>
      <c r="I2987" s="1"/>
      <c r="J2987" s="1"/>
      <c r="L2987" s="1"/>
      <c r="M2987" s="1"/>
      <c r="O2987" s="2"/>
      <c r="P2987" s="2"/>
    </row>
    <row r="2988" spans="1:16" x14ac:dyDescent="0.25">
      <c r="A2988" s="2"/>
      <c r="B2988" s="2"/>
      <c r="F2988" s="1"/>
      <c r="G2988" s="1"/>
      <c r="I2988" s="1"/>
      <c r="J2988" s="1"/>
      <c r="L2988" s="1"/>
      <c r="M2988" s="1"/>
      <c r="O2988" s="2"/>
      <c r="P2988" s="2"/>
    </row>
    <row r="2989" spans="1:16" x14ac:dyDescent="0.25">
      <c r="A2989" s="2"/>
      <c r="B2989" s="2"/>
      <c r="F2989" s="1"/>
      <c r="G2989" s="1"/>
      <c r="I2989" s="1"/>
      <c r="J2989" s="1"/>
      <c r="L2989" s="1"/>
      <c r="M2989" s="1"/>
      <c r="O2989" s="2"/>
      <c r="P2989" s="2"/>
    </row>
    <row r="2990" spans="1:16" x14ac:dyDescent="0.25">
      <c r="A2990" s="2"/>
      <c r="B2990" s="2"/>
      <c r="F2990" s="1"/>
      <c r="G2990" s="1"/>
      <c r="I2990" s="1"/>
      <c r="J2990" s="1"/>
      <c r="L2990" s="1"/>
      <c r="M2990" s="1"/>
      <c r="O2990" s="2"/>
      <c r="P2990" s="2"/>
    </row>
    <row r="2991" spans="1:16" x14ac:dyDescent="0.25">
      <c r="A2991" s="2"/>
      <c r="B2991" s="2"/>
      <c r="F2991" s="1"/>
      <c r="G2991" s="1"/>
      <c r="I2991" s="1"/>
      <c r="J2991" s="1"/>
      <c r="L2991" s="1"/>
      <c r="M2991" s="1"/>
      <c r="O2991" s="2"/>
      <c r="P2991" s="2"/>
    </row>
    <row r="2992" spans="1:16" x14ac:dyDescent="0.25">
      <c r="A2992" s="2"/>
      <c r="B2992" s="2"/>
      <c r="F2992" s="1"/>
      <c r="G2992" s="1"/>
      <c r="I2992" s="1"/>
      <c r="J2992" s="1"/>
      <c r="L2992" s="1"/>
      <c r="M2992" s="1"/>
      <c r="O2992" s="2"/>
      <c r="P2992" s="2"/>
    </row>
    <row r="2993" spans="1:16" x14ac:dyDescent="0.25">
      <c r="A2993" s="2"/>
      <c r="B2993" s="2"/>
      <c r="F2993" s="1"/>
      <c r="G2993" s="1"/>
      <c r="I2993" s="1"/>
      <c r="J2993" s="1"/>
      <c r="L2993" s="1"/>
      <c r="M2993" s="1"/>
      <c r="O2993" s="2"/>
      <c r="P2993" s="2"/>
    </row>
    <row r="2994" spans="1:16" x14ac:dyDescent="0.25">
      <c r="A2994" s="2"/>
      <c r="B2994" s="2"/>
      <c r="F2994" s="1"/>
      <c r="G2994" s="1"/>
      <c r="I2994" s="1"/>
      <c r="J2994" s="1"/>
      <c r="L2994" s="1"/>
      <c r="M2994" s="1"/>
      <c r="O2994" s="2"/>
      <c r="P2994" s="2"/>
    </row>
    <row r="2995" spans="1:16" x14ac:dyDescent="0.25">
      <c r="A2995" s="2"/>
      <c r="B2995" s="2"/>
      <c r="F2995" s="1"/>
      <c r="G2995" s="1"/>
      <c r="I2995" s="1"/>
      <c r="J2995" s="1"/>
      <c r="L2995" s="1"/>
      <c r="M2995" s="1"/>
      <c r="O2995" s="2"/>
      <c r="P2995" s="2"/>
    </row>
    <row r="2996" spans="1:16" x14ac:dyDescent="0.25">
      <c r="A2996" s="2"/>
      <c r="B2996" s="2"/>
      <c r="F2996" s="1"/>
      <c r="G2996" s="1"/>
      <c r="I2996" s="1"/>
      <c r="J2996" s="1"/>
      <c r="L2996" s="1"/>
      <c r="M2996" s="1"/>
      <c r="O2996" s="2"/>
      <c r="P2996" s="2"/>
    </row>
    <row r="2997" spans="1:16" x14ac:dyDescent="0.25">
      <c r="A2997" s="2"/>
      <c r="B2997" s="2"/>
      <c r="F2997" s="1"/>
      <c r="G2997" s="1"/>
      <c r="I2997" s="1"/>
      <c r="J2997" s="1"/>
      <c r="L2997" s="1"/>
      <c r="M2997" s="1"/>
      <c r="O2997" s="2"/>
      <c r="P2997" s="2"/>
    </row>
    <row r="2998" spans="1:16" x14ac:dyDescent="0.25">
      <c r="A2998" s="2"/>
      <c r="B2998" s="2"/>
      <c r="F2998" s="1"/>
      <c r="G2998" s="1"/>
      <c r="I2998" s="1"/>
      <c r="J2998" s="1"/>
      <c r="L2998" s="1"/>
      <c r="M2998" s="1"/>
      <c r="O2998" s="2"/>
      <c r="P2998" s="2"/>
    </row>
    <row r="2999" spans="1:16" x14ac:dyDescent="0.25">
      <c r="A2999" s="2"/>
      <c r="B2999" s="2"/>
      <c r="F2999" s="1"/>
      <c r="G2999" s="1"/>
      <c r="I2999" s="1"/>
      <c r="J2999" s="1"/>
      <c r="L2999" s="1"/>
      <c r="M2999" s="1"/>
      <c r="O2999" s="2"/>
      <c r="P2999" s="2"/>
    </row>
    <row r="3000" spans="1:16" x14ac:dyDescent="0.25">
      <c r="A3000" s="2"/>
      <c r="B3000" s="2"/>
      <c r="F3000" s="1"/>
      <c r="G3000" s="1"/>
      <c r="I3000" s="1"/>
      <c r="J3000" s="1"/>
      <c r="L3000" s="1"/>
      <c r="M3000" s="1"/>
      <c r="O3000" s="2"/>
      <c r="P3000" s="2"/>
    </row>
    <row r="3001" spans="1:16" x14ac:dyDescent="0.25">
      <c r="A3001" s="2"/>
      <c r="B3001" s="2"/>
      <c r="F3001" s="1"/>
      <c r="G3001" s="1"/>
      <c r="I3001" s="1"/>
      <c r="J3001" s="1"/>
      <c r="L3001" s="1"/>
      <c r="M3001" s="1"/>
      <c r="O3001" s="2"/>
      <c r="P3001" s="2"/>
    </row>
    <row r="3002" spans="1:16" x14ac:dyDescent="0.25">
      <c r="A3002" s="2"/>
      <c r="B3002" s="2"/>
      <c r="F3002" s="1"/>
      <c r="G3002" s="1"/>
      <c r="I3002" s="1"/>
      <c r="J3002" s="1"/>
      <c r="L3002" s="1"/>
      <c r="M3002" s="1"/>
      <c r="O3002" s="2"/>
      <c r="P3002" s="2"/>
    </row>
    <row r="3003" spans="1:16" x14ac:dyDescent="0.25">
      <c r="A3003" s="2"/>
      <c r="B3003" s="2"/>
      <c r="F3003" s="1"/>
      <c r="G3003" s="1"/>
      <c r="I3003" s="1"/>
      <c r="J3003" s="1"/>
      <c r="L3003" s="1"/>
      <c r="M3003" s="1"/>
      <c r="O3003" s="2"/>
      <c r="P3003" s="2"/>
    </row>
    <row r="3004" spans="1:16" x14ac:dyDescent="0.25">
      <c r="A3004" s="2"/>
      <c r="B3004" s="2"/>
      <c r="F3004" s="1"/>
      <c r="G3004" s="1"/>
      <c r="I3004" s="1"/>
      <c r="J3004" s="1"/>
      <c r="L3004" s="1"/>
      <c r="M3004" s="1"/>
      <c r="O3004" s="2"/>
      <c r="P3004" s="2"/>
    </row>
    <row r="3005" spans="1:16" x14ac:dyDescent="0.25">
      <c r="A3005" s="2"/>
      <c r="B3005" s="2"/>
      <c r="F3005" s="1"/>
      <c r="G3005" s="1"/>
      <c r="I3005" s="1"/>
      <c r="J3005" s="1"/>
      <c r="L3005" s="1"/>
      <c r="M3005" s="1"/>
      <c r="O3005" s="2"/>
      <c r="P3005" s="2"/>
    </row>
    <row r="3006" spans="1:16" x14ac:dyDescent="0.25">
      <c r="A3006" s="2"/>
      <c r="B3006" s="2"/>
      <c r="F3006" s="1"/>
      <c r="G3006" s="1"/>
      <c r="I3006" s="1"/>
      <c r="J3006" s="1"/>
      <c r="L3006" s="1"/>
      <c r="M3006" s="1"/>
      <c r="O3006" s="2"/>
      <c r="P3006" s="2"/>
    </row>
    <row r="3007" spans="1:16" x14ac:dyDescent="0.25">
      <c r="A3007" s="2"/>
      <c r="B3007" s="2"/>
      <c r="F3007" s="1"/>
      <c r="G3007" s="1"/>
      <c r="I3007" s="1"/>
      <c r="J3007" s="1"/>
      <c r="L3007" s="1"/>
      <c r="M3007" s="1"/>
      <c r="O3007" s="2"/>
      <c r="P3007" s="2"/>
    </row>
    <row r="3008" spans="1:16" x14ac:dyDescent="0.25">
      <c r="A3008" s="2"/>
      <c r="B3008" s="2"/>
      <c r="F3008" s="1"/>
      <c r="G3008" s="1"/>
      <c r="I3008" s="1"/>
      <c r="J3008" s="1"/>
      <c r="L3008" s="1"/>
      <c r="M3008" s="1"/>
      <c r="O3008" s="2"/>
      <c r="P3008" s="2"/>
    </row>
    <row r="3009" spans="1:16" x14ac:dyDescent="0.25">
      <c r="A3009" s="2"/>
      <c r="B3009" s="2"/>
      <c r="F3009" s="1"/>
      <c r="G3009" s="1"/>
      <c r="I3009" s="1"/>
      <c r="J3009" s="1"/>
      <c r="L3009" s="1"/>
      <c r="M3009" s="1"/>
      <c r="O3009" s="2"/>
      <c r="P3009" s="2"/>
    </row>
    <row r="3010" spans="1:16" x14ac:dyDescent="0.25">
      <c r="A3010" s="2"/>
      <c r="B3010" s="2"/>
      <c r="F3010" s="1"/>
      <c r="G3010" s="1"/>
      <c r="I3010" s="1"/>
      <c r="J3010" s="1"/>
      <c r="L3010" s="1"/>
      <c r="M3010" s="1"/>
      <c r="O3010" s="2"/>
      <c r="P3010" s="2"/>
    </row>
    <row r="3011" spans="1:16" x14ac:dyDescent="0.25">
      <c r="A3011" s="2"/>
      <c r="B3011" s="2"/>
      <c r="F3011" s="1"/>
      <c r="G3011" s="1"/>
      <c r="I3011" s="1"/>
      <c r="J3011" s="1"/>
      <c r="L3011" s="1"/>
      <c r="M3011" s="1"/>
      <c r="O3011" s="2"/>
      <c r="P3011" s="2"/>
    </row>
    <row r="3012" spans="1:16" x14ac:dyDescent="0.25">
      <c r="A3012" s="2"/>
      <c r="B3012" s="2"/>
      <c r="F3012" s="1"/>
      <c r="G3012" s="1"/>
      <c r="I3012" s="1"/>
      <c r="J3012" s="1"/>
      <c r="L3012" s="1"/>
      <c r="M3012" s="1"/>
      <c r="O3012" s="2"/>
      <c r="P3012" s="2"/>
    </row>
    <row r="3013" spans="1:16" x14ac:dyDescent="0.25">
      <c r="A3013" s="2"/>
      <c r="B3013" s="2"/>
      <c r="F3013" s="1"/>
      <c r="G3013" s="1"/>
      <c r="I3013" s="1"/>
      <c r="J3013" s="1"/>
      <c r="L3013" s="1"/>
      <c r="M3013" s="1"/>
      <c r="O3013" s="2"/>
      <c r="P3013" s="2"/>
    </row>
    <row r="3014" spans="1:16" x14ac:dyDescent="0.25">
      <c r="A3014" s="2"/>
      <c r="B3014" s="2"/>
      <c r="F3014" s="1"/>
      <c r="G3014" s="1"/>
      <c r="I3014" s="1"/>
      <c r="J3014" s="1"/>
      <c r="L3014" s="1"/>
      <c r="M3014" s="1"/>
      <c r="O3014" s="2"/>
      <c r="P3014" s="2"/>
    </row>
    <row r="3015" spans="1:16" x14ac:dyDescent="0.25">
      <c r="A3015" s="2"/>
      <c r="B3015" s="2"/>
      <c r="F3015" s="1"/>
      <c r="G3015" s="1"/>
      <c r="I3015" s="1"/>
      <c r="J3015" s="1"/>
      <c r="L3015" s="1"/>
      <c r="M3015" s="1"/>
      <c r="O3015" s="2"/>
      <c r="P3015" s="2"/>
    </row>
    <row r="3016" spans="1:16" x14ac:dyDescent="0.25">
      <c r="A3016" s="2"/>
      <c r="B3016" s="2"/>
      <c r="F3016" s="1"/>
      <c r="G3016" s="1"/>
      <c r="I3016" s="1"/>
      <c r="J3016" s="1"/>
      <c r="L3016" s="1"/>
      <c r="M3016" s="1"/>
      <c r="O3016" s="2"/>
      <c r="P3016" s="2"/>
    </row>
    <row r="3017" spans="1:16" x14ac:dyDescent="0.25">
      <c r="A3017" s="2"/>
      <c r="B3017" s="2"/>
      <c r="F3017" s="1"/>
      <c r="G3017" s="1"/>
      <c r="I3017" s="1"/>
      <c r="J3017" s="1"/>
      <c r="L3017" s="1"/>
      <c r="M3017" s="1"/>
      <c r="O3017" s="2"/>
      <c r="P3017" s="2"/>
    </row>
    <row r="3018" spans="1:16" x14ac:dyDescent="0.25">
      <c r="A3018" s="2"/>
      <c r="B3018" s="2"/>
      <c r="F3018" s="1"/>
      <c r="G3018" s="1"/>
      <c r="I3018" s="1"/>
      <c r="J3018" s="1"/>
      <c r="L3018" s="1"/>
      <c r="M3018" s="1"/>
      <c r="O3018" s="2"/>
      <c r="P3018" s="2"/>
    </row>
    <row r="3019" spans="1:16" x14ac:dyDescent="0.25">
      <c r="A3019" s="2"/>
      <c r="B3019" s="2"/>
      <c r="F3019" s="1"/>
      <c r="G3019" s="1"/>
      <c r="I3019" s="1"/>
      <c r="J3019" s="1"/>
      <c r="L3019" s="1"/>
      <c r="M3019" s="1"/>
      <c r="O3019" s="2"/>
      <c r="P3019" s="2"/>
    </row>
    <row r="3020" spans="1:16" x14ac:dyDescent="0.25">
      <c r="A3020" s="2"/>
      <c r="B3020" s="2"/>
      <c r="F3020" s="1"/>
      <c r="G3020" s="1"/>
      <c r="I3020" s="1"/>
      <c r="J3020" s="1"/>
      <c r="L3020" s="1"/>
      <c r="M3020" s="1"/>
      <c r="O3020" s="2"/>
      <c r="P3020" s="2"/>
    </row>
    <row r="3021" spans="1:16" x14ac:dyDescent="0.25">
      <c r="A3021" s="2"/>
      <c r="B3021" s="2"/>
      <c r="F3021" s="1"/>
      <c r="G3021" s="1"/>
      <c r="I3021" s="1"/>
      <c r="J3021" s="1"/>
      <c r="L3021" s="1"/>
      <c r="M3021" s="1"/>
      <c r="O3021" s="2"/>
      <c r="P3021" s="2"/>
    </row>
    <row r="3022" spans="1:16" x14ac:dyDescent="0.25">
      <c r="A3022" s="2"/>
      <c r="B3022" s="2"/>
      <c r="F3022" s="1"/>
      <c r="G3022" s="1"/>
      <c r="I3022" s="1"/>
      <c r="J3022" s="1"/>
      <c r="L3022" s="1"/>
      <c r="M3022" s="1"/>
      <c r="O3022" s="2"/>
      <c r="P3022" s="2"/>
    </row>
    <row r="3023" spans="1:16" x14ac:dyDescent="0.25">
      <c r="A3023" s="2"/>
      <c r="B3023" s="2"/>
      <c r="F3023" s="1"/>
      <c r="G3023" s="1"/>
      <c r="I3023" s="1"/>
      <c r="J3023" s="1"/>
      <c r="L3023" s="1"/>
      <c r="M3023" s="1"/>
      <c r="O3023" s="2"/>
      <c r="P3023" s="2"/>
    </row>
    <row r="3024" spans="1:16" x14ac:dyDescent="0.25">
      <c r="A3024" s="2"/>
      <c r="B3024" s="2"/>
      <c r="F3024" s="1"/>
      <c r="G3024" s="1"/>
      <c r="I3024" s="1"/>
      <c r="J3024" s="1"/>
      <c r="L3024" s="1"/>
      <c r="M3024" s="1"/>
      <c r="O3024" s="2"/>
      <c r="P3024" s="2"/>
    </row>
    <row r="3025" spans="1:16" x14ac:dyDescent="0.25">
      <c r="A3025" s="2"/>
      <c r="B3025" s="2"/>
      <c r="F3025" s="1"/>
      <c r="G3025" s="1"/>
      <c r="I3025" s="1"/>
      <c r="J3025" s="1"/>
      <c r="L3025" s="1"/>
      <c r="M3025" s="1"/>
      <c r="O3025" s="2"/>
      <c r="P3025" s="2"/>
    </row>
    <row r="3026" spans="1:16" x14ac:dyDescent="0.25">
      <c r="A3026" s="2"/>
      <c r="B3026" s="2"/>
      <c r="F3026" s="1"/>
      <c r="G3026" s="1"/>
      <c r="I3026" s="1"/>
      <c r="J3026" s="1"/>
      <c r="L3026" s="1"/>
      <c r="M3026" s="1"/>
      <c r="O3026" s="2"/>
      <c r="P3026" s="2"/>
    </row>
    <row r="3027" spans="1:16" x14ac:dyDescent="0.25">
      <c r="A3027" s="2"/>
      <c r="B3027" s="2"/>
      <c r="F3027" s="1"/>
      <c r="G3027" s="1"/>
      <c r="I3027" s="1"/>
      <c r="J3027" s="1"/>
      <c r="L3027" s="1"/>
      <c r="M3027" s="1"/>
      <c r="O3027" s="2"/>
      <c r="P3027" s="2"/>
    </row>
    <row r="3028" spans="1:16" x14ac:dyDescent="0.25">
      <c r="A3028" s="2"/>
      <c r="B3028" s="2"/>
      <c r="F3028" s="1"/>
      <c r="G3028" s="1"/>
      <c r="I3028" s="1"/>
      <c r="J3028" s="1"/>
      <c r="L3028" s="1"/>
      <c r="M3028" s="1"/>
      <c r="O3028" s="2"/>
      <c r="P3028" s="2"/>
    </row>
    <row r="3029" spans="1:16" x14ac:dyDescent="0.25">
      <c r="A3029" s="2"/>
      <c r="B3029" s="2"/>
      <c r="F3029" s="1"/>
      <c r="G3029" s="1"/>
      <c r="I3029" s="1"/>
      <c r="J3029" s="1"/>
      <c r="L3029" s="1"/>
      <c r="M3029" s="1"/>
      <c r="O3029" s="2"/>
      <c r="P3029" s="2"/>
    </row>
    <row r="3030" spans="1:16" x14ac:dyDescent="0.25">
      <c r="A3030" s="2"/>
      <c r="B3030" s="2"/>
      <c r="F3030" s="1"/>
      <c r="G3030" s="1"/>
      <c r="I3030" s="1"/>
      <c r="J3030" s="1"/>
      <c r="L3030" s="1"/>
      <c r="M3030" s="1"/>
      <c r="O3030" s="2"/>
      <c r="P3030" s="2"/>
    </row>
    <row r="3031" spans="1:16" x14ac:dyDescent="0.25">
      <c r="A3031" s="2"/>
      <c r="B3031" s="2"/>
      <c r="F3031" s="1"/>
      <c r="G3031" s="1"/>
      <c r="I3031" s="1"/>
      <c r="J3031" s="1"/>
      <c r="L3031" s="1"/>
      <c r="M3031" s="1"/>
      <c r="O3031" s="2"/>
      <c r="P3031" s="2"/>
    </row>
    <row r="3032" spans="1:16" x14ac:dyDescent="0.25">
      <c r="A3032" s="2"/>
      <c r="B3032" s="2"/>
      <c r="F3032" s="1"/>
      <c r="G3032" s="1"/>
      <c r="I3032" s="1"/>
      <c r="J3032" s="1"/>
      <c r="L3032" s="1"/>
      <c r="M3032" s="1"/>
      <c r="O3032" s="2"/>
      <c r="P3032" s="2"/>
    </row>
    <row r="3033" spans="1:16" x14ac:dyDescent="0.25">
      <c r="A3033" s="2"/>
      <c r="B3033" s="2"/>
      <c r="F3033" s="1"/>
      <c r="G3033" s="1"/>
      <c r="I3033" s="1"/>
      <c r="J3033" s="1"/>
      <c r="L3033" s="1"/>
      <c r="M3033" s="1"/>
      <c r="O3033" s="2"/>
      <c r="P3033" s="2"/>
    </row>
    <row r="3034" spans="1:16" x14ac:dyDescent="0.25">
      <c r="A3034" s="2"/>
      <c r="B3034" s="2"/>
      <c r="F3034" s="1"/>
      <c r="G3034" s="1"/>
      <c r="I3034" s="1"/>
      <c r="J3034" s="1"/>
      <c r="L3034" s="1"/>
      <c r="M3034" s="1"/>
      <c r="O3034" s="2"/>
      <c r="P3034" s="2"/>
    </row>
    <row r="3035" spans="1:16" x14ac:dyDescent="0.25">
      <c r="A3035" s="2"/>
      <c r="B3035" s="2"/>
      <c r="F3035" s="1"/>
      <c r="G3035" s="1"/>
      <c r="I3035" s="1"/>
      <c r="J3035" s="1"/>
      <c r="L3035" s="1"/>
      <c r="M3035" s="1"/>
      <c r="O3035" s="2"/>
      <c r="P3035" s="2"/>
    </row>
    <row r="3036" spans="1:16" x14ac:dyDescent="0.25">
      <c r="A3036" s="2"/>
      <c r="B3036" s="2"/>
      <c r="F3036" s="1"/>
      <c r="G3036" s="1"/>
      <c r="I3036" s="1"/>
      <c r="J3036" s="1"/>
      <c r="L3036" s="1"/>
      <c r="M3036" s="1"/>
      <c r="O3036" s="2"/>
      <c r="P3036" s="2"/>
    </row>
    <row r="3037" spans="1:16" x14ac:dyDescent="0.25">
      <c r="A3037" s="2"/>
      <c r="B3037" s="2"/>
      <c r="F3037" s="1"/>
      <c r="G3037" s="1"/>
      <c r="I3037" s="1"/>
      <c r="J3037" s="1"/>
      <c r="L3037" s="1"/>
      <c r="M3037" s="1"/>
      <c r="O3037" s="2"/>
      <c r="P3037" s="2"/>
    </row>
    <row r="3038" spans="1:16" x14ac:dyDescent="0.25">
      <c r="A3038" s="2"/>
      <c r="B3038" s="2"/>
      <c r="F3038" s="1"/>
      <c r="G3038" s="1"/>
      <c r="I3038" s="1"/>
      <c r="J3038" s="1"/>
      <c r="L3038" s="1"/>
      <c r="M3038" s="1"/>
      <c r="O3038" s="2"/>
      <c r="P3038" s="2"/>
    </row>
    <row r="3039" spans="1:16" x14ac:dyDescent="0.25">
      <c r="A3039" s="2"/>
      <c r="B3039" s="2"/>
      <c r="F3039" s="1"/>
      <c r="G3039" s="1"/>
      <c r="I3039" s="1"/>
      <c r="J3039" s="1"/>
      <c r="L3039" s="1"/>
      <c r="M3039" s="1"/>
      <c r="O3039" s="2"/>
      <c r="P3039" s="2"/>
    </row>
    <row r="3040" spans="1:16" x14ac:dyDescent="0.25">
      <c r="A3040" s="2"/>
      <c r="B3040" s="2"/>
      <c r="F3040" s="1"/>
      <c r="G3040" s="1"/>
      <c r="I3040" s="1"/>
      <c r="J3040" s="1"/>
      <c r="L3040" s="1"/>
      <c r="M3040" s="1"/>
      <c r="O3040" s="2"/>
      <c r="P3040" s="2"/>
    </row>
    <row r="3041" spans="1:16" x14ac:dyDescent="0.25">
      <c r="A3041" s="2"/>
      <c r="B3041" s="2"/>
      <c r="F3041" s="1"/>
      <c r="G3041" s="1"/>
      <c r="I3041" s="1"/>
      <c r="J3041" s="1"/>
      <c r="L3041" s="1"/>
      <c r="M3041" s="1"/>
      <c r="O3041" s="2"/>
      <c r="P3041" s="2"/>
    </row>
    <row r="3042" spans="1:16" x14ac:dyDescent="0.25">
      <c r="A3042" s="2"/>
      <c r="B3042" s="2"/>
      <c r="F3042" s="1"/>
      <c r="G3042" s="1"/>
      <c r="I3042" s="1"/>
      <c r="J3042" s="1"/>
      <c r="L3042" s="1"/>
      <c r="M3042" s="1"/>
      <c r="O3042" s="2"/>
      <c r="P3042" s="2"/>
    </row>
    <row r="3043" spans="1:16" x14ac:dyDescent="0.25">
      <c r="A3043" s="2"/>
      <c r="B3043" s="2"/>
      <c r="F3043" s="1"/>
      <c r="G3043" s="1"/>
      <c r="I3043" s="1"/>
      <c r="J3043" s="1"/>
      <c r="L3043" s="1"/>
      <c r="M3043" s="1"/>
      <c r="O3043" s="2"/>
      <c r="P3043" s="2"/>
    </row>
    <row r="3044" spans="1:16" x14ac:dyDescent="0.25">
      <c r="A3044" s="2"/>
      <c r="B3044" s="2"/>
      <c r="F3044" s="1"/>
      <c r="G3044" s="1"/>
      <c r="I3044" s="1"/>
      <c r="J3044" s="1"/>
      <c r="L3044" s="1"/>
      <c r="M3044" s="1"/>
      <c r="O3044" s="2"/>
      <c r="P3044" s="2"/>
    </row>
    <row r="3045" spans="1:16" x14ac:dyDescent="0.25">
      <c r="A3045" s="2"/>
      <c r="B3045" s="2"/>
      <c r="F3045" s="1"/>
      <c r="G3045" s="1"/>
      <c r="I3045" s="1"/>
      <c r="J3045" s="1"/>
      <c r="L3045" s="1"/>
      <c r="M3045" s="1"/>
      <c r="O3045" s="2"/>
      <c r="P3045" s="2"/>
    </row>
    <row r="3046" spans="1:16" x14ac:dyDescent="0.25">
      <c r="A3046" s="2"/>
      <c r="B3046" s="2"/>
      <c r="F3046" s="1"/>
      <c r="G3046" s="1"/>
      <c r="I3046" s="1"/>
      <c r="J3046" s="1"/>
      <c r="L3046" s="1"/>
      <c r="M3046" s="1"/>
      <c r="O3046" s="2"/>
      <c r="P3046" s="2"/>
    </row>
    <row r="3047" spans="1:16" x14ac:dyDescent="0.25">
      <c r="A3047" s="2"/>
      <c r="B3047" s="2"/>
      <c r="F3047" s="1"/>
      <c r="G3047" s="1"/>
      <c r="I3047" s="1"/>
      <c r="J3047" s="1"/>
      <c r="L3047" s="1"/>
      <c r="M3047" s="1"/>
      <c r="O3047" s="2"/>
      <c r="P3047" s="2"/>
    </row>
    <row r="3048" spans="1:16" x14ac:dyDescent="0.25">
      <c r="A3048" s="2"/>
      <c r="B3048" s="2"/>
      <c r="F3048" s="1"/>
      <c r="G3048" s="1"/>
      <c r="I3048" s="1"/>
      <c r="J3048" s="1"/>
      <c r="L3048" s="1"/>
      <c r="M3048" s="1"/>
      <c r="O3048" s="2"/>
      <c r="P3048" s="2"/>
    </row>
    <row r="3049" spans="1:16" x14ac:dyDescent="0.25">
      <c r="A3049" s="2"/>
      <c r="B3049" s="2"/>
      <c r="F3049" s="1"/>
      <c r="G3049" s="1"/>
      <c r="I3049" s="1"/>
      <c r="J3049" s="1"/>
      <c r="L3049" s="1"/>
      <c r="M3049" s="1"/>
      <c r="O3049" s="2"/>
      <c r="P3049" s="2"/>
    </row>
    <row r="3050" spans="1:16" x14ac:dyDescent="0.25">
      <c r="A3050" s="2"/>
      <c r="B3050" s="2"/>
      <c r="F3050" s="1"/>
      <c r="G3050" s="1"/>
      <c r="I3050" s="1"/>
      <c r="J3050" s="1"/>
      <c r="L3050" s="1"/>
      <c r="M3050" s="1"/>
      <c r="O3050" s="2"/>
      <c r="P3050" s="2"/>
    </row>
    <row r="3051" spans="1:16" x14ac:dyDescent="0.25">
      <c r="A3051" s="2"/>
      <c r="B3051" s="2"/>
      <c r="F3051" s="1"/>
      <c r="G3051" s="1"/>
      <c r="I3051" s="1"/>
      <c r="J3051" s="1"/>
      <c r="L3051" s="1"/>
      <c r="M3051" s="1"/>
      <c r="O3051" s="2"/>
      <c r="P3051" s="2"/>
    </row>
    <row r="3052" spans="1:16" x14ac:dyDescent="0.25">
      <c r="A3052" s="2"/>
      <c r="B3052" s="2"/>
      <c r="F3052" s="1"/>
      <c r="G3052" s="1"/>
      <c r="I3052" s="1"/>
      <c r="J3052" s="1"/>
      <c r="L3052" s="1"/>
      <c r="M3052" s="1"/>
      <c r="O3052" s="2"/>
      <c r="P3052" s="2"/>
    </row>
    <row r="3053" spans="1:16" x14ac:dyDescent="0.25">
      <c r="A3053" s="2"/>
      <c r="B3053" s="2"/>
      <c r="F3053" s="1"/>
      <c r="G3053" s="1"/>
      <c r="I3053" s="1"/>
      <c r="J3053" s="1"/>
      <c r="L3053" s="1"/>
      <c r="M3053" s="1"/>
      <c r="O3053" s="2"/>
      <c r="P3053" s="2"/>
    </row>
    <row r="3054" spans="1:16" x14ac:dyDescent="0.25">
      <c r="A3054" s="2"/>
      <c r="B3054" s="2"/>
      <c r="F3054" s="1"/>
      <c r="G3054" s="1"/>
      <c r="I3054" s="1"/>
      <c r="J3054" s="1"/>
      <c r="L3054" s="1"/>
      <c r="M3054" s="1"/>
      <c r="O3054" s="2"/>
      <c r="P3054" s="2"/>
    </row>
    <row r="3055" spans="1:16" x14ac:dyDescent="0.25">
      <c r="A3055" s="2"/>
      <c r="B3055" s="2"/>
      <c r="F3055" s="1"/>
      <c r="G3055" s="1"/>
      <c r="I3055" s="1"/>
      <c r="J3055" s="1"/>
      <c r="L3055" s="1"/>
      <c r="M3055" s="1"/>
      <c r="O3055" s="2"/>
      <c r="P3055" s="2"/>
    </row>
    <row r="3056" spans="1:16" x14ac:dyDescent="0.25">
      <c r="A3056" s="2"/>
      <c r="B3056" s="2"/>
      <c r="F3056" s="1"/>
      <c r="G3056" s="1"/>
      <c r="I3056" s="1"/>
      <c r="J3056" s="1"/>
      <c r="L3056" s="1"/>
      <c r="M3056" s="1"/>
      <c r="O3056" s="2"/>
      <c r="P3056" s="2"/>
    </row>
    <row r="3057" spans="1:16" x14ac:dyDescent="0.25">
      <c r="A3057" s="2"/>
      <c r="B3057" s="2"/>
      <c r="F3057" s="1"/>
      <c r="G3057" s="1"/>
      <c r="I3057" s="1"/>
      <c r="J3057" s="1"/>
      <c r="L3057" s="1"/>
      <c r="M3057" s="1"/>
      <c r="O3057" s="2"/>
      <c r="P3057" s="2"/>
    </row>
    <row r="3058" spans="1:16" x14ac:dyDescent="0.25">
      <c r="A3058" s="2"/>
      <c r="B3058" s="2"/>
      <c r="F3058" s="1"/>
      <c r="G3058" s="1"/>
      <c r="I3058" s="1"/>
      <c r="J3058" s="1"/>
      <c r="L3058" s="1"/>
      <c r="M3058" s="1"/>
      <c r="O3058" s="2"/>
      <c r="P3058" s="2"/>
    </row>
    <row r="3059" spans="1:16" x14ac:dyDescent="0.25">
      <c r="A3059" s="2"/>
      <c r="B3059" s="2"/>
      <c r="F3059" s="1"/>
      <c r="G3059" s="1"/>
      <c r="I3059" s="1"/>
      <c r="J3059" s="1"/>
      <c r="L3059" s="1"/>
      <c r="M3059" s="1"/>
      <c r="O3059" s="2"/>
      <c r="P3059" s="2"/>
    </row>
    <row r="3060" spans="1:16" x14ac:dyDescent="0.25">
      <c r="A3060" s="2"/>
      <c r="B3060" s="2"/>
      <c r="F3060" s="1"/>
      <c r="G3060" s="1"/>
      <c r="I3060" s="1"/>
      <c r="J3060" s="1"/>
      <c r="L3060" s="1"/>
      <c r="M3060" s="1"/>
      <c r="O3060" s="2"/>
      <c r="P3060" s="2"/>
    </row>
    <row r="3061" spans="1:16" x14ac:dyDescent="0.25">
      <c r="A3061" s="2"/>
      <c r="B3061" s="2"/>
      <c r="F3061" s="1"/>
      <c r="G3061" s="1"/>
      <c r="I3061" s="1"/>
      <c r="J3061" s="1"/>
      <c r="L3061" s="1"/>
      <c r="M3061" s="1"/>
      <c r="O3061" s="2"/>
      <c r="P3061" s="2"/>
    </row>
    <row r="3062" spans="1:16" x14ac:dyDescent="0.25">
      <c r="A3062" s="2"/>
      <c r="B3062" s="2"/>
      <c r="F3062" s="1"/>
      <c r="G3062" s="1"/>
      <c r="I3062" s="1"/>
      <c r="J3062" s="1"/>
      <c r="L3062" s="1"/>
      <c r="M3062" s="1"/>
      <c r="O3062" s="2"/>
      <c r="P3062" s="2"/>
    </row>
    <row r="3063" spans="1:16" x14ac:dyDescent="0.25">
      <c r="A3063" s="2"/>
      <c r="B3063" s="2"/>
      <c r="F3063" s="1"/>
      <c r="G3063" s="1"/>
      <c r="I3063" s="1"/>
      <c r="J3063" s="1"/>
      <c r="L3063" s="1"/>
      <c r="M3063" s="1"/>
      <c r="O3063" s="2"/>
      <c r="P3063" s="2"/>
    </row>
    <row r="3064" spans="1:16" x14ac:dyDescent="0.25">
      <c r="A3064" s="2"/>
      <c r="B3064" s="2"/>
      <c r="F3064" s="1"/>
      <c r="G3064" s="1"/>
      <c r="I3064" s="1"/>
      <c r="J3064" s="1"/>
      <c r="L3064" s="1"/>
      <c r="M3064" s="1"/>
      <c r="O3064" s="2"/>
      <c r="P3064" s="2"/>
    </row>
    <row r="3065" spans="1:16" x14ac:dyDescent="0.25">
      <c r="A3065" s="2"/>
      <c r="B3065" s="2"/>
      <c r="F3065" s="1"/>
      <c r="G3065" s="1"/>
      <c r="I3065" s="1"/>
      <c r="J3065" s="1"/>
      <c r="L3065" s="1"/>
      <c r="M3065" s="1"/>
      <c r="O3065" s="2"/>
      <c r="P3065" s="2"/>
    </row>
    <row r="3066" spans="1:16" x14ac:dyDescent="0.25">
      <c r="A3066" s="2"/>
      <c r="B3066" s="2"/>
      <c r="F3066" s="1"/>
      <c r="G3066" s="1"/>
      <c r="I3066" s="1"/>
      <c r="J3066" s="1"/>
      <c r="L3066" s="1"/>
      <c r="M3066" s="1"/>
      <c r="O3066" s="2"/>
      <c r="P3066" s="2"/>
    </row>
    <row r="3067" spans="1:16" x14ac:dyDescent="0.25">
      <c r="A3067" s="2"/>
      <c r="B3067" s="2"/>
      <c r="F3067" s="1"/>
      <c r="G3067" s="1"/>
      <c r="I3067" s="1"/>
      <c r="J3067" s="1"/>
      <c r="L3067" s="1"/>
      <c r="M3067" s="1"/>
      <c r="O3067" s="2"/>
      <c r="P3067" s="2"/>
    </row>
    <row r="3068" spans="1:16" x14ac:dyDescent="0.25">
      <c r="A3068" s="2"/>
      <c r="B3068" s="2"/>
      <c r="F3068" s="1"/>
      <c r="G3068" s="1"/>
      <c r="I3068" s="1"/>
      <c r="J3068" s="1"/>
      <c r="L3068" s="1"/>
      <c r="M3068" s="1"/>
      <c r="O3068" s="2"/>
      <c r="P3068" s="2"/>
    </row>
    <row r="3069" spans="1:16" x14ac:dyDescent="0.25">
      <c r="A3069" s="2"/>
      <c r="B3069" s="2"/>
      <c r="F3069" s="1"/>
      <c r="G3069" s="1"/>
      <c r="I3069" s="1"/>
      <c r="J3069" s="1"/>
      <c r="L3069" s="1"/>
      <c r="M3069" s="1"/>
      <c r="O3069" s="2"/>
      <c r="P3069" s="2"/>
    </row>
    <row r="3070" spans="1:16" x14ac:dyDescent="0.25">
      <c r="A3070" s="2"/>
      <c r="B3070" s="2"/>
      <c r="F3070" s="1"/>
      <c r="G3070" s="1"/>
      <c r="I3070" s="1"/>
      <c r="J3070" s="1"/>
      <c r="L3070" s="1"/>
      <c r="M3070" s="1"/>
      <c r="O3070" s="2"/>
      <c r="P3070" s="2"/>
    </row>
    <row r="3071" spans="1:16" x14ac:dyDescent="0.25">
      <c r="A3071" s="2"/>
      <c r="B3071" s="2"/>
      <c r="F3071" s="1"/>
      <c r="G3071" s="1"/>
      <c r="I3071" s="1"/>
      <c r="J3071" s="1"/>
      <c r="L3071" s="1"/>
      <c r="M3071" s="1"/>
      <c r="O3071" s="2"/>
      <c r="P3071" s="2"/>
    </row>
    <row r="3072" spans="1:16" x14ac:dyDescent="0.25">
      <c r="A3072" s="2"/>
      <c r="B3072" s="2"/>
      <c r="F3072" s="1"/>
      <c r="G3072" s="1"/>
      <c r="I3072" s="1"/>
      <c r="J3072" s="1"/>
      <c r="L3072" s="1"/>
      <c r="M3072" s="1"/>
      <c r="O3072" s="2"/>
      <c r="P3072" s="2"/>
    </row>
    <row r="3073" spans="1:16" x14ac:dyDescent="0.25">
      <c r="A3073" s="2"/>
      <c r="B3073" s="2"/>
      <c r="F3073" s="1"/>
      <c r="G3073" s="1"/>
      <c r="I3073" s="1"/>
      <c r="J3073" s="1"/>
      <c r="L3073" s="1"/>
      <c r="M3073" s="1"/>
      <c r="O3073" s="2"/>
      <c r="P3073" s="2"/>
    </row>
    <row r="3074" spans="1:16" x14ac:dyDescent="0.25">
      <c r="A3074" s="2"/>
      <c r="B3074" s="2"/>
      <c r="F3074" s="1"/>
      <c r="G3074" s="1"/>
      <c r="I3074" s="1"/>
      <c r="J3074" s="1"/>
      <c r="L3074" s="1"/>
      <c r="M3074" s="1"/>
      <c r="O3074" s="2"/>
      <c r="P3074" s="2"/>
    </row>
    <row r="3075" spans="1:16" x14ac:dyDescent="0.25">
      <c r="A3075" s="2"/>
      <c r="B3075" s="2"/>
      <c r="F3075" s="1"/>
      <c r="G3075" s="1"/>
      <c r="I3075" s="1"/>
      <c r="J3075" s="1"/>
      <c r="L3075" s="1"/>
      <c r="M3075" s="1"/>
      <c r="O3075" s="2"/>
      <c r="P3075" s="2"/>
    </row>
    <row r="3076" spans="1:16" x14ac:dyDescent="0.25">
      <c r="A3076" s="2"/>
      <c r="B3076" s="2"/>
      <c r="F3076" s="1"/>
      <c r="G3076" s="1"/>
      <c r="I3076" s="1"/>
      <c r="J3076" s="1"/>
      <c r="L3076" s="1"/>
      <c r="M3076" s="1"/>
      <c r="O3076" s="2"/>
      <c r="P3076" s="2"/>
    </row>
    <row r="3077" spans="1:16" x14ac:dyDescent="0.25">
      <c r="A3077" s="2"/>
      <c r="B3077" s="2"/>
      <c r="F3077" s="1"/>
      <c r="G3077" s="1"/>
      <c r="I3077" s="1"/>
      <c r="J3077" s="1"/>
      <c r="L3077" s="1"/>
      <c r="M3077" s="1"/>
      <c r="O3077" s="2"/>
      <c r="P3077" s="2"/>
    </row>
    <row r="3078" spans="1:16" x14ac:dyDescent="0.25">
      <c r="A3078" s="2"/>
      <c r="B3078" s="2"/>
      <c r="F3078" s="1"/>
      <c r="G3078" s="1"/>
      <c r="I3078" s="1"/>
      <c r="J3078" s="1"/>
      <c r="L3078" s="1"/>
      <c r="M3078" s="1"/>
      <c r="O3078" s="2"/>
      <c r="P3078" s="2"/>
    </row>
    <row r="3079" spans="1:16" x14ac:dyDescent="0.25">
      <c r="A3079" s="2"/>
      <c r="B3079" s="2"/>
      <c r="F3079" s="1"/>
      <c r="G3079" s="1"/>
      <c r="I3079" s="1"/>
      <c r="J3079" s="1"/>
      <c r="L3079" s="1"/>
      <c r="M3079" s="1"/>
      <c r="O3079" s="2"/>
      <c r="P3079" s="2"/>
    </row>
    <row r="3080" spans="1:16" x14ac:dyDescent="0.25">
      <c r="A3080" s="2"/>
      <c r="B3080" s="2"/>
      <c r="F3080" s="1"/>
      <c r="G3080" s="1"/>
      <c r="I3080" s="1"/>
      <c r="J3080" s="1"/>
      <c r="L3080" s="1"/>
      <c r="M3080" s="1"/>
      <c r="O3080" s="2"/>
      <c r="P3080" s="2"/>
    </row>
    <row r="3081" spans="1:16" x14ac:dyDescent="0.25">
      <c r="A3081" s="2"/>
      <c r="B3081" s="2"/>
      <c r="F3081" s="1"/>
      <c r="G3081" s="1"/>
      <c r="I3081" s="1"/>
      <c r="J3081" s="1"/>
      <c r="L3081" s="1"/>
      <c r="M3081" s="1"/>
      <c r="O3081" s="2"/>
      <c r="P3081" s="2"/>
    </row>
    <row r="3082" spans="1:16" x14ac:dyDescent="0.25">
      <c r="A3082" s="2"/>
      <c r="B3082" s="2"/>
      <c r="F3082" s="1"/>
      <c r="G3082" s="1"/>
      <c r="I3082" s="1"/>
      <c r="J3082" s="1"/>
      <c r="L3082" s="1"/>
      <c r="M3082" s="1"/>
      <c r="O3082" s="2"/>
      <c r="P3082" s="2"/>
    </row>
    <row r="3083" spans="1:16" x14ac:dyDescent="0.25">
      <c r="A3083" s="2"/>
      <c r="B3083" s="2"/>
      <c r="F3083" s="1"/>
      <c r="G3083" s="1"/>
      <c r="I3083" s="1"/>
      <c r="J3083" s="1"/>
      <c r="L3083" s="1"/>
      <c r="M3083" s="1"/>
      <c r="O3083" s="2"/>
      <c r="P3083" s="2"/>
    </row>
    <row r="3084" spans="1:16" x14ac:dyDescent="0.25">
      <c r="A3084" s="2"/>
      <c r="B3084" s="2"/>
      <c r="F3084" s="1"/>
      <c r="G3084" s="1"/>
      <c r="I3084" s="1"/>
      <c r="J3084" s="1"/>
      <c r="L3084" s="1"/>
      <c r="M3084" s="1"/>
      <c r="O3084" s="2"/>
      <c r="P3084" s="2"/>
    </row>
    <row r="3085" spans="1:16" x14ac:dyDescent="0.25">
      <c r="A3085" s="2"/>
      <c r="B3085" s="2"/>
      <c r="F3085" s="1"/>
      <c r="G3085" s="1"/>
      <c r="I3085" s="1"/>
      <c r="J3085" s="1"/>
      <c r="L3085" s="1"/>
      <c r="M3085" s="1"/>
      <c r="O3085" s="2"/>
      <c r="P3085" s="2"/>
    </row>
    <row r="3086" spans="1:16" x14ac:dyDescent="0.25">
      <c r="A3086" s="2"/>
      <c r="B3086" s="2"/>
      <c r="F3086" s="1"/>
      <c r="G3086" s="1"/>
      <c r="I3086" s="1"/>
      <c r="J3086" s="1"/>
      <c r="L3086" s="1"/>
      <c r="M3086" s="1"/>
      <c r="O3086" s="2"/>
      <c r="P3086" s="2"/>
    </row>
    <row r="3087" spans="1:16" x14ac:dyDescent="0.25">
      <c r="A3087" s="2"/>
      <c r="B3087" s="2"/>
      <c r="F3087" s="1"/>
      <c r="G3087" s="1"/>
      <c r="I3087" s="1"/>
      <c r="J3087" s="1"/>
      <c r="L3087" s="1"/>
      <c r="M3087" s="1"/>
      <c r="O3087" s="2"/>
      <c r="P3087" s="2"/>
    </row>
    <row r="3088" spans="1:16" x14ac:dyDescent="0.25">
      <c r="A3088" s="2"/>
      <c r="B3088" s="2"/>
      <c r="F3088" s="1"/>
      <c r="G3088" s="1"/>
      <c r="I3088" s="1"/>
      <c r="J3088" s="1"/>
      <c r="L3088" s="1"/>
      <c r="M3088" s="1"/>
      <c r="O3088" s="2"/>
      <c r="P3088" s="2"/>
    </row>
    <row r="3089" spans="1:16" x14ac:dyDescent="0.25">
      <c r="A3089" s="2"/>
      <c r="B3089" s="2"/>
      <c r="F3089" s="1"/>
      <c r="G3089" s="1"/>
      <c r="I3089" s="1"/>
      <c r="J3089" s="1"/>
      <c r="L3089" s="1"/>
      <c r="M3089" s="1"/>
      <c r="O3089" s="2"/>
      <c r="P3089" s="2"/>
    </row>
    <row r="3090" spans="1:16" x14ac:dyDescent="0.25">
      <c r="A3090" s="2"/>
      <c r="B3090" s="2"/>
      <c r="F3090" s="1"/>
      <c r="G3090" s="1"/>
      <c r="I3090" s="1"/>
      <c r="J3090" s="1"/>
      <c r="L3090" s="1"/>
      <c r="M3090" s="1"/>
      <c r="O3090" s="2"/>
      <c r="P3090" s="2"/>
    </row>
    <row r="3091" spans="1:16" x14ac:dyDescent="0.25">
      <c r="A3091" s="2"/>
      <c r="B3091" s="2"/>
      <c r="F3091" s="1"/>
      <c r="G3091" s="1"/>
      <c r="I3091" s="1"/>
      <c r="J3091" s="1"/>
      <c r="L3091" s="1"/>
      <c r="M3091" s="1"/>
      <c r="O3091" s="2"/>
      <c r="P3091" s="2"/>
    </row>
    <row r="3092" spans="1:16" x14ac:dyDescent="0.25">
      <c r="A3092" s="2"/>
      <c r="B3092" s="2"/>
      <c r="F3092" s="1"/>
      <c r="G3092" s="1"/>
      <c r="I3092" s="1"/>
      <c r="J3092" s="1"/>
      <c r="L3092" s="1"/>
      <c r="M3092" s="1"/>
      <c r="O3092" s="2"/>
      <c r="P3092" s="2"/>
    </row>
    <row r="3093" spans="1:16" x14ac:dyDescent="0.25">
      <c r="A3093" s="2"/>
      <c r="B3093" s="2"/>
      <c r="F3093" s="1"/>
      <c r="G3093" s="1"/>
      <c r="I3093" s="1"/>
      <c r="J3093" s="1"/>
      <c r="L3093" s="1"/>
      <c r="M3093" s="1"/>
      <c r="O3093" s="2"/>
      <c r="P3093" s="2"/>
    </row>
    <row r="3094" spans="1:16" x14ac:dyDescent="0.25">
      <c r="A3094" s="2"/>
      <c r="B3094" s="2"/>
      <c r="F3094" s="1"/>
      <c r="G3094" s="1"/>
      <c r="I3094" s="1"/>
      <c r="J3094" s="1"/>
      <c r="L3094" s="1"/>
      <c r="M3094" s="1"/>
      <c r="O3094" s="2"/>
      <c r="P3094" s="2"/>
    </row>
    <row r="3095" spans="1:16" x14ac:dyDescent="0.25">
      <c r="A3095" s="2"/>
      <c r="B3095" s="2"/>
      <c r="F3095" s="1"/>
      <c r="G3095" s="1"/>
      <c r="I3095" s="1"/>
      <c r="J3095" s="1"/>
      <c r="L3095" s="1"/>
      <c r="M3095" s="1"/>
      <c r="O3095" s="2"/>
      <c r="P3095" s="2"/>
    </row>
    <row r="3096" spans="1:16" x14ac:dyDescent="0.25">
      <c r="A3096" s="2"/>
      <c r="B3096" s="2"/>
      <c r="F3096" s="1"/>
      <c r="G3096" s="1"/>
      <c r="I3096" s="1"/>
      <c r="J3096" s="1"/>
      <c r="L3096" s="1"/>
      <c r="M3096" s="1"/>
      <c r="O3096" s="2"/>
      <c r="P3096" s="2"/>
    </row>
    <row r="3097" spans="1:16" x14ac:dyDescent="0.25">
      <c r="A3097" s="2"/>
      <c r="B3097" s="2"/>
      <c r="F3097" s="1"/>
      <c r="G3097" s="1"/>
      <c r="I3097" s="1"/>
      <c r="J3097" s="1"/>
      <c r="L3097" s="1"/>
      <c r="M3097" s="1"/>
      <c r="O3097" s="2"/>
      <c r="P3097" s="2"/>
    </row>
    <row r="3098" spans="1:16" x14ac:dyDescent="0.25">
      <c r="A3098" s="2"/>
      <c r="B3098" s="2"/>
      <c r="F3098" s="1"/>
      <c r="G3098" s="1"/>
      <c r="I3098" s="1"/>
      <c r="J3098" s="1"/>
      <c r="L3098" s="1"/>
      <c r="M3098" s="1"/>
      <c r="O3098" s="2"/>
      <c r="P3098" s="2"/>
    </row>
    <row r="3099" spans="1:16" x14ac:dyDescent="0.25">
      <c r="A3099" s="2"/>
      <c r="B3099" s="2"/>
      <c r="F3099" s="1"/>
      <c r="G3099" s="1"/>
      <c r="I3099" s="1"/>
      <c r="J3099" s="1"/>
      <c r="L3099" s="1"/>
      <c r="M3099" s="1"/>
      <c r="O3099" s="2"/>
      <c r="P3099" s="2"/>
    </row>
    <row r="3100" spans="1:16" x14ac:dyDescent="0.25">
      <c r="A3100" s="2"/>
      <c r="B3100" s="2"/>
      <c r="F3100" s="1"/>
      <c r="G3100" s="1"/>
      <c r="I3100" s="1"/>
      <c r="J3100" s="1"/>
      <c r="L3100" s="1"/>
      <c r="M3100" s="1"/>
      <c r="O3100" s="2"/>
      <c r="P3100" s="2"/>
    </row>
    <row r="3101" spans="1:16" x14ac:dyDescent="0.25">
      <c r="A3101" s="2"/>
      <c r="B3101" s="2"/>
      <c r="F3101" s="1"/>
      <c r="G3101" s="1"/>
      <c r="I3101" s="1"/>
      <c r="J3101" s="1"/>
      <c r="L3101" s="1"/>
      <c r="M3101" s="1"/>
      <c r="O3101" s="2"/>
      <c r="P3101" s="2"/>
    </row>
    <row r="3102" spans="1:16" x14ac:dyDescent="0.25">
      <c r="A3102" s="2"/>
      <c r="B3102" s="2"/>
      <c r="F3102" s="1"/>
      <c r="G3102" s="1"/>
      <c r="I3102" s="1"/>
      <c r="J3102" s="1"/>
      <c r="L3102" s="1"/>
      <c r="M3102" s="1"/>
      <c r="O3102" s="2"/>
      <c r="P3102" s="2"/>
    </row>
    <row r="3103" spans="1:16" x14ac:dyDescent="0.25">
      <c r="A3103" s="2"/>
      <c r="B3103" s="2"/>
      <c r="F3103" s="1"/>
      <c r="G3103" s="1"/>
      <c r="I3103" s="1"/>
      <c r="J3103" s="1"/>
      <c r="L3103" s="1"/>
      <c r="M3103" s="1"/>
      <c r="O3103" s="2"/>
      <c r="P3103" s="2"/>
    </row>
    <row r="3104" spans="1:16" x14ac:dyDescent="0.25">
      <c r="A3104" s="2"/>
      <c r="B3104" s="2"/>
      <c r="F3104" s="1"/>
      <c r="G3104" s="1"/>
      <c r="I3104" s="1"/>
      <c r="J3104" s="1"/>
      <c r="L3104" s="1"/>
      <c r="M3104" s="1"/>
      <c r="O3104" s="2"/>
      <c r="P3104" s="2"/>
    </row>
    <row r="3105" spans="1:16" x14ac:dyDescent="0.25">
      <c r="A3105" s="2"/>
      <c r="B3105" s="2"/>
      <c r="F3105" s="1"/>
      <c r="G3105" s="1"/>
      <c r="I3105" s="1"/>
      <c r="J3105" s="1"/>
      <c r="L3105" s="1"/>
      <c r="M3105" s="1"/>
      <c r="O3105" s="2"/>
      <c r="P3105" s="2"/>
    </row>
    <row r="3106" spans="1:16" x14ac:dyDescent="0.25">
      <c r="A3106" s="2"/>
      <c r="B3106" s="2"/>
      <c r="F3106" s="1"/>
      <c r="G3106" s="1"/>
      <c r="I3106" s="1"/>
      <c r="J3106" s="1"/>
      <c r="L3106" s="1"/>
      <c r="M3106" s="1"/>
      <c r="O3106" s="2"/>
      <c r="P3106" s="2"/>
    </row>
    <row r="3107" spans="1:16" x14ac:dyDescent="0.25">
      <c r="A3107" s="2"/>
      <c r="B3107" s="2"/>
      <c r="F3107" s="1"/>
      <c r="G3107" s="1"/>
      <c r="I3107" s="1"/>
      <c r="J3107" s="1"/>
      <c r="L3107" s="1"/>
      <c r="M3107" s="1"/>
      <c r="O3107" s="2"/>
      <c r="P3107" s="2"/>
    </row>
    <row r="3108" spans="1:16" x14ac:dyDescent="0.25">
      <c r="A3108" s="2"/>
      <c r="B3108" s="2"/>
      <c r="F3108" s="1"/>
      <c r="G3108" s="1"/>
      <c r="I3108" s="1"/>
      <c r="J3108" s="1"/>
      <c r="L3108" s="1"/>
      <c r="M3108" s="1"/>
      <c r="O3108" s="2"/>
      <c r="P3108" s="2"/>
    </row>
    <row r="3109" spans="1:16" x14ac:dyDescent="0.25">
      <c r="A3109" s="2"/>
      <c r="B3109" s="2"/>
      <c r="F3109" s="1"/>
      <c r="G3109" s="1"/>
      <c r="I3109" s="1"/>
      <c r="J3109" s="1"/>
      <c r="L3109" s="1"/>
      <c r="M3109" s="1"/>
      <c r="O3109" s="2"/>
      <c r="P3109" s="2"/>
    </row>
    <row r="3110" spans="1:16" x14ac:dyDescent="0.25">
      <c r="A3110" s="2"/>
      <c r="B3110" s="2"/>
      <c r="F3110" s="1"/>
      <c r="G3110" s="1"/>
      <c r="I3110" s="1"/>
      <c r="J3110" s="1"/>
      <c r="L3110" s="1"/>
      <c r="M3110" s="1"/>
      <c r="O3110" s="2"/>
      <c r="P3110" s="2"/>
    </row>
    <row r="3111" spans="1:16" x14ac:dyDescent="0.25">
      <c r="A3111" s="2"/>
      <c r="B3111" s="2"/>
      <c r="F3111" s="1"/>
      <c r="G3111" s="1"/>
      <c r="I3111" s="1"/>
      <c r="J3111" s="1"/>
      <c r="L3111" s="1"/>
      <c r="M3111" s="1"/>
      <c r="O3111" s="2"/>
      <c r="P3111" s="2"/>
    </row>
    <row r="3112" spans="1:16" x14ac:dyDescent="0.25">
      <c r="A3112" s="2"/>
      <c r="B3112" s="2"/>
      <c r="F3112" s="1"/>
      <c r="G3112" s="1"/>
      <c r="I3112" s="1"/>
      <c r="J3112" s="1"/>
      <c r="L3112" s="1"/>
      <c r="M3112" s="1"/>
      <c r="O3112" s="2"/>
      <c r="P3112" s="2"/>
    </row>
    <row r="3113" spans="1:16" x14ac:dyDescent="0.25">
      <c r="A3113" s="2"/>
      <c r="B3113" s="2"/>
      <c r="F3113" s="1"/>
      <c r="G3113" s="1"/>
      <c r="I3113" s="1"/>
      <c r="J3113" s="1"/>
      <c r="L3113" s="1"/>
      <c r="M3113" s="1"/>
      <c r="O3113" s="2"/>
      <c r="P3113" s="2"/>
    </row>
    <row r="3114" spans="1:16" x14ac:dyDescent="0.25">
      <c r="A3114" s="2"/>
      <c r="B3114" s="2"/>
      <c r="F3114" s="1"/>
      <c r="G3114" s="1"/>
      <c r="I3114" s="1"/>
      <c r="J3114" s="1"/>
      <c r="L3114" s="1"/>
      <c r="M3114" s="1"/>
      <c r="O3114" s="2"/>
      <c r="P3114" s="2"/>
    </row>
    <row r="3115" spans="1:16" x14ac:dyDescent="0.25">
      <c r="A3115" s="2"/>
      <c r="B3115" s="2"/>
      <c r="F3115" s="1"/>
      <c r="G3115" s="1"/>
      <c r="I3115" s="1"/>
      <c r="J3115" s="1"/>
      <c r="L3115" s="1"/>
      <c r="M3115" s="1"/>
      <c r="O3115" s="2"/>
      <c r="P3115" s="2"/>
    </row>
    <row r="3116" spans="1:16" x14ac:dyDescent="0.25">
      <c r="A3116" s="2"/>
      <c r="B3116" s="2"/>
      <c r="F3116" s="1"/>
      <c r="G3116" s="1"/>
      <c r="I3116" s="1"/>
      <c r="J3116" s="1"/>
      <c r="L3116" s="1"/>
      <c r="M3116" s="1"/>
      <c r="O3116" s="2"/>
      <c r="P3116" s="2"/>
    </row>
    <row r="3117" spans="1:16" x14ac:dyDescent="0.25">
      <c r="A3117" s="2"/>
      <c r="B3117" s="2"/>
      <c r="F3117" s="1"/>
      <c r="G3117" s="1"/>
      <c r="I3117" s="1"/>
      <c r="J3117" s="1"/>
      <c r="L3117" s="1"/>
      <c r="M3117" s="1"/>
      <c r="O3117" s="2"/>
      <c r="P3117" s="2"/>
    </row>
    <row r="3118" spans="1:16" x14ac:dyDescent="0.25">
      <c r="A3118" s="2"/>
      <c r="B3118" s="2"/>
      <c r="F3118" s="1"/>
      <c r="G3118" s="1"/>
      <c r="I3118" s="1"/>
      <c r="J3118" s="1"/>
      <c r="L3118" s="1"/>
      <c r="M3118" s="1"/>
      <c r="O3118" s="2"/>
      <c r="P3118" s="2"/>
    </row>
    <row r="3119" spans="1:16" x14ac:dyDescent="0.25">
      <c r="A3119" s="2"/>
      <c r="B3119" s="2"/>
      <c r="F3119" s="1"/>
      <c r="G3119" s="1"/>
      <c r="I3119" s="1"/>
      <c r="J3119" s="1"/>
      <c r="L3119" s="1"/>
      <c r="M3119" s="1"/>
      <c r="O3119" s="2"/>
      <c r="P3119" s="2"/>
    </row>
    <row r="3120" spans="1:16" x14ac:dyDescent="0.25">
      <c r="A3120" s="2"/>
      <c r="B3120" s="2"/>
      <c r="F3120" s="1"/>
      <c r="G3120" s="1"/>
      <c r="I3120" s="1"/>
      <c r="J3120" s="1"/>
      <c r="L3120" s="1"/>
      <c r="M3120" s="1"/>
      <c r="O3120" s="2"/>
      <c r="P3120" s="2"/>
    </row>
    <row r="3121" spans="1:16" x14ac:dyDescent="0.25">
      <c r="A3121" s="2"/>
      <c r="B3121" s="2"/>
      <c r="F3121" s="1"/>
      <c r="G3121" s="1"/>
      <c r="I3121" s="1"/>
      <c r="J3121" s="1"/>
      <c r="L3121" s="1"/>
      <c r="M3121" s="1"/>
      <c r="O3121" s="2"/>
      <c r="P3121" s="2"/>
    </row>
    <row r="3122" spans="1:16" x14ac:dyDescent="0.25">
      <c r="A3122" s="2"/>
      <c r="B3122" s="2"/>
      <c r="F3122" s="1"/>
      <c r="G3122" s="1"/>
      <c r="I3122" s="1"/>
      <c r="J3122" s="1"/>
      <c r="L3122" s="1"/>
      <c r="M3122" s="1"/>
      <c r="O3122" s="2"/>
      <c r="P3122" s="2"/>
    </row>
    <row r="3123" spans="1:16" x14ac:dyDescent="0.25">
      <c r="A3123" s="2"/>
      <c r="B3123" s="2"/>
      <c r="F3123" s="1"/>
      <c r="G3123" s="1"/>
      <c r="I3123" s="1"/>
      <c r="J3123" s="1"/>
      <c r="L3123" s="1"/>
      <c r="M3123" s="1"/>
      <c r="O3123" s="2"/>
      <c r="P3123" s="2"/>
    </row>
    <row r="3124" spans="1:16" x14ac:dyDescent="0.25">
      <c r="A3124" s="2"/>
      <c r="B3124" s="2"/>
      <c r="F3124" s="1"/>
      <c r="G3124" s="1"/>
      <c r="I3124" s="1"/>
      <c r="J3124" s="1"/>
      <c r="L3124" s="1"/>
      <c r="M3124" s="1"/>
      <c r="O3124" s="2"/>
      <c r="P3124" s="2"/>
    </row>
    <row r="3125" spans="1:16" x14ac:dyDescent="0.25">
      <c r="A3125" s="2"/>
      <c r="B3125" s="2"/>
      <c r="F3125" s="1"/>
      <c r="G3125" s="1"/>
      <c r="I3125" s="1"/>
      <c r="J3125" s="1"/>
      <c r="L3125" s="1"/>
      <c r="M3125" s="1"/>
      <c r="O3125" s="2"/>
      <c r="P3125" s="2"/>
    </row>
    <row r="3126" spans="1:16" x14ac:dyDescent="0.25">
      <c r="A3126" s="2"/>
      <c r="B3126" s="2"/>
      <c r="F3126" s="1"/>
      <c r="G3126" s="1"/>
      <c r="I3126" s="1"/>
      <c r="J3126" s="1"/>
      <c r="L3126" s="1"/>
      <c r="M3126" s="1"/>
      <c r="O3126" s="2"/>
      <c r="P3126" s="2"/>
    </row>
    <row r="3127" spans="1:16" x14ac:dyDescent="0.25">
      <c r="A3127" s="2"/>
      <c r="B3127" s="2"/>
      <c r="F3127" s="1"/>
      <c r="G3127" s="1"/>
      <c r="I3127" s="1"/>
      <c r="J3127" s="1"/>
      <c r="L3127" s="1"/>
      <c r="M3127" s="1"/>
      <c r="O3127" s="2"/>
      <c r="P3127" s="2"/>
    </row>
    <row r="3128" spans="1:16" x14ac:dyDescent="0.25">
      <c r="A3128" s="2"/>
      <c r="B3128" s="2"/>
      <c r="F3128" s="1"/>
      <c r="G3128" s="1"/>
      <c r="I3128" s="1"/>
      <c r="J3128" s="1"/>
      <c r="L3128" s="1"/>
      <c r="M3128" s="1"/>
      <c r="O3128" s="2"/>
      <c r="P3128" s="2"/>
    </row>
    <row r="3129" spans="1:16" x14ac:dyDescent="0.25">
      <c r="A3129" s="2"/>
      <c r="B3129" s="2"/>
      <c r="F3129" s="1"/>
      <c r="G3129" s="1"/>
      <c r="I3129" s="1"/>
      <c r="J3129" s="1"/>
      <c r="L3129" s="1"/>
      <c r="M3129" s="1"/>
      <c r="O3129" s="2"/>
      <c r="P3129" s="2"/>
    </row>
    <row r="3130" spans="1:16" x14ac:dyDescent="0.25">
      <c r="A3130" s="2"/>
      <c r="B3130" s="2"/>
      <c r="F3130" s="1"/>
      <c r="G3130" s="1"/>
      <c r="I3130" s="1"/>
      <c r="J3130" s="1"/>
      <c r="L3130" s="1"/>
      <c r="M3130" s="1"/>
      <c r="O3130" s="2"/>
      <c r="P3130" s="2"/>
    </row>
    <row r="3131" spans="1:16" x14ac:dyDescent="0.25">
      <c r="A3131" s="2"/>
      <c r="B3131" s="2"/>
      <c r="F3131" s="1"/>
      <c r="G3131" s="1"/>
      <c r="I3131" s="1"/>
      <c r="J3131" s="1"/>
      <c r="L3131" s="1"/>
      <c r="M3131" s="1"/>
      <c r="O3131" s="2"/>
      <c r="P3131" s="2"/>
    </row>
    <row r="3132" spans="1:16" x14ac:dyDescent="0.25">
      <c r="A3132" s="2"/>
      <c r="B3132" s="2"/>
      <c r="F3132" s="1"/>
      <c r="G3132" s="1"/>
      <c r="I3132" s="1"/>
      <c r="J3132" s="1"/>
      <c r="L3132" s="1"/>
      <c r="M3132" s="1"/>
      <c r="O3132" s="2"/>
      <c r="P3132" s="2"/>
    </row>
    <row r="3133" spans="1:16" x14ac:dyDescent="0.25">
      <c r="A3133" s="2"/>
      <c r="B3133" s="2"/>
      <c r="F3133" s="1"/>
      <c r="G3133" s="1"/>
      <c r="I3133" s="1"/>
      <c r="J3133" s="1"/>
      <c r="L3133" s="1"/>
      <c r="M3133" s="1"/>
      <c r="O3133" s="2"/>
      <c r="P3133" s="2"/>
    </row>
    <row r="3134" spans="1:16" x14ac:dyDescent="0.25">
      <c r="A3134" s="2"/>
      <c r="B3134" s="2"/>
      <c r="F3134" s="1"/>
      <c r="G3134" s="1"/>
      <c r="I3134" s="1"/>
      <c r="J3134" s="1"/>
      <c r="L3134" s="1"/>
      <c r="M3134" s="1"/>
      <c r="O3134" s="2"/>
      <c r="P3134" s="2"/>
    </row>
    <row r="3135" spans="1:16" x14ac:dyDescent="0.25">
      <c r="A3135" s="2"/>
      <c r="B3135" s="2"/>
      <c r="F3135" s="1"/>
      <c r="G3135" s="1"/>
      <c r="I3135" s="1"/>
      <c r="J3135" s="1"/>
      <c r="L3135" s="1"/>
      <c r="M3135" s="1"/>
      <c r="O3135" s="2"/>
      <c r="P3135" s="2"/>
    </row>
    <row r="3136" spans="1:16" x14ac:dyDescent="0.25">
      <c r="A3136" s="2"/>
      <c r="B3136" s="2"/>
      <c r="F3136" s="1"/>
      <c r="G3136" s="1"/>
      <c r="I3136" s="1"/>
      <c r="J3136" s="1"/>
      <c r="L3136" s="1"/>
      <c r="M3136" s="1"/>
      <c r="O3136" s="2"/>
      <c r="P3136" s="2"/>
    </row>
    <row r="3137" spans="1:16" x14ac:dyDescent="0.25">
      <c r="A3137" s="2"/>
      <c r="B3137" s="2"/>
      <c r="F3137" s="1"/>
      <c r="G3137" s="1"/>
      <c r="I3137" s="1"/>
      <c r="J3137" s="1"/>
      <c r="L3137" s="1"/>
      <c r="M3137" s="1"/>
      <c r="O3137" s="2"/>
      <c r="P3137" s="2"/>
    </row>
    <row r="3138" spans="1:16" x14ac:dyDescent="0.25">
      <c r="A3138" s="2"/>
      <c r="B3138" s="2"/>
      <c r="F3138" s="1"/>
      <c r="G3138" s="1"/>
      <c r="I3138" s="1"/>
      <c r="J3138" s="1"/>
      <c r="L3138" s="1"/>
      <c r="M3138" s="1"/>
      <c r="O3138" s="2"/>
      <c r="P3138" s="2"/>
    </row>
    <row r="3139" spans="1:16" x14ac:dyDescent="0.25">
      <c r="A3139" s="2"/>
      <c r="B3139" s="2"/>
      <c r="F3139" s="1"/>
      <c r="G3139" s="1"/>
      <c r="I3139" s="1"/>
      <c r="J3139" s="1"/>
      <c r="L3139" s="1"/>
      <c r="M3139" s="1"/>
      <c r="O3139" s="2"/>
      <c r="P3139" s="2"/>
    </row>
    <row r="3140" spans="1:16" x14ac:dyDescent="0.25">
      <c r="A3140" s="2"/>
      <c r="B3140" s="2"/>
      <c r="F3140" s="1"/>
      <c r="G3140" s="1"/>
      <c r="I3140" s="1"/>
      <c r="J3140" s="1"/>
      <c r="L3140" s="1"/>
      <c r="M3140" s="1"/>
      <c r="O3140" s="2"/>
      <c r="P3140" s="2"/>
    </row>
    <row r="3141" spans="1:16" x14ac:dyDescent="0.25">
      <c r="A3141" s="2"/>
      <c r="B3141" s="2"/>
      <c r="F3141" s="1"/>
      <c r="G3141" s="1"/>
      <c r="I3141" s="1"/>
      <c r="J3141" s="1"/>
      <c r="L3141" s="1"/>
      <c r="M3141" s="1"/>
      <c r="O3141" s="2"/>
      <c r="P3141" s="2"/>
    </row>
    <row r="3142" spans="1:16" x14ac:dyDescent="0.25">
      <c r="A3142" s="2"/>
      <c r="B3142" s="2"/>
      <c r="F3142" s="1"/>
      <c r="G3142" s="1"/>
      <c r="I3142" s="1"/>
      <c r="J3142" s="1"/>
      <c r="L3142" s="1"/>
      <c r="M3142" s="1"/>
      <c r="O3142" s="2"/>
      <c r="P3142" s="2"/>
    </row>
    <row r="3143" spans="1:16" x14ac:dyDescent="0.25">
      <c r="A3143" s="2"/>
      <c r="B3143" s="2"/>
      <c r="F3143" s="1"/>
      <c r="G3143" s="1"/>
      <c r="I3143" s="1"/>
      <c r="J3143" s="1"/>
      <c r="L3143" s="1"/>
      <c r="M3143" s="1"/>
      <c r="O3143" s="2"/>
      <c r="P3143" s="2"/>
    </row>
    <row r="3144" spans="1:16" x14ac:dyDescent="0.25">
      <c r="A3144" s="2"/>
      <c r="B3144" s="2"/>
      <c r="F3144" s="1"/>
      <c r="G3144" s="1"/>
      <c r="I3144" s="1"/>
      <c r="J3144" s="1"/>
      <c r="L3144" s="1"/>
      <c r="M3144" s="1"/>
      <c r="O3144" s="2"/>
      <c r="P3144" s="2"/>
    </row>
    <row r="3145" spans="1:16" x14ac:dyDescent="0.25">
      <c r="A3145" s="2"/>
      <c r="B3145" s="2"/>
      <c r="F3145" s="1"/>
      <c r="G3145" s="1"/>
      <c r="I3145" s="1"/>
      <c r="J3145" s="1"/>
      <c r="L3145" s="1"/>
      <c r="M3145" s="1"/>
      <c r="O3145" s="2"/>
      <c r="P3145" s="2"/>
    </row>
    <row r="3146" spans="1:16" x14ac:dyDescent="0.25">
      <c r="A3146" s="2"/>
      <c r="B3146" s="2"/>
      <c r="F3146" s="1"/>
      <c r="G3146" s="1"/>
      <c r="I3146" s="1"/>
      <c r="J3146" s="1"/>
      <c r="L3146" s="1"/>
      <c r="M3146" s="1"/>
      <c r="O3146" s="2"/>
      <c r="P3146" s="2"/>
    </row>
    <row r="3147" spans="1:16" x14ac:dyDescent="0.25">
      <c r="A3147" s="2"/>
      <c r="B3147" s="2"/>
      <c r="F3147" s="1"/>
      <c r="G3147" s="1"/>
      <c r="I3147" s="1"/>
      <c r="J3147" s="1"/>
      <c r="L3147" s="1"/>
      <c r="M3147" s="1"/>
      <c r="O3147" s="2"/>
      <c r="P3147" s="2"/>
    </row>
    <row r="3148" spans="1:16" x14ac:dyDescent="0.25">
      <c r="A3148" s="2"/>
      <c r="B3148" s="2"/>
      <c r="F3148" s="1"/>
      <c r="G3148" s="1"/>
      <c r="I3148" s="1"/>
      <c r="J3148" s="1"/>
      <c r="L3148" s="1"/>
      <c r="M3148" s="1"/>
      <c r="O3148" s="2"/>
      <c r="P3148" s="2"/>
    </row>
    <row r="3149" spans="1:16" x14ac:dyDescent="0.25">
      <c r="A3149" s="2"/>
      <c r="B3149" s="2"/>
      <c r="F3149" s="1"/>
      <c r="G3149" s="1"/>
      <c r="I3149" s="1"/>
      <c r="J3149" s="1"/>
      <c r="L3149" s="1"/>
      <c r="M3149" s="1"/>
      <c r="O3149" s="2"/>
      <c r="P3149" s="2"/>
    </row>
    <row r="3150" spans="1:16" x14ac:dyDescent="0.25">
      <c r="A3150" s="2"/>
      <c r="B3150" s="2"/>
      <c r="F3150" s="1"/>
      <c r="G3150" s="1"/>
      <c r="I3150" s="1"/>
      <c r="J3150" s="1"/>
      <c r="L3150" s="1"/>
      <c r="M3150" s="1"/>
      <c r="O3150" s="2"/>
      <c r="P3150" s="2"/>
    </row>
    <row r="3151" spans="1:16" x14ac:dyDescent="0.25">
      <c r="A3151" s="2"/>
      <c r="B3151" s="2"/>
      <c r="F3151" s="1"/>
      <c r="G3151" s="1"/>
      <c r="I3151" s="1"/>
      <c r="J3151" s="1"/>
      <c r="L3151" s="1"/>
      <c r="M3151" s="1"/>
      <c r="O3151" s="2"/>
      <c r="P3151" s="2"/>
    </row>
    <row r="3152" spans="1:16" x14ac:dyDescent="0.25">
      <c r="A3152" s="2"/>
      <c r="B3152" s="2"/>
      <c r="F3152" s="1"/>
      <c r="G3152" s="1"/>
      <c r="I3152" s="1"/>
      <c r="J3152" s="1"/>
      <c r="L3152" s="1"/>
      <c r="M3152" s="1"/>
      <c r="O3152" s="2"/>
      <c r="P3152" s="2"/>
    </row>
    <row r="3153" spans="1:16" x14ac:dyDescent="0.25">
      <c r="A3153" s="2"/>
      <c r="B3153" s="2"/>
      <c r="F3153" s="1"/>
      <c r="G3153" s="1"/>
      <c r="I3153" s="1"/>
      <c r="J3153" s="1"/>
      <c r="L3153" s="1"/>
      <c r="M3153" s="1"/>
      <c r="O3153" s="2"/>
      <c r="P3153" s="2"/>
    </row>
    <row r="3154" spans="1:16" x14ac:dyDescent="0.25">
      <c r="A3154" s="2"/>
      <c r="B3154" s="2"/>
      <c r="F3154" s="1"/>
      <c r="G3154" s="1"/>
      <c r="I3154" s="1"/>
      <c r="J3154" s="1"/>
      <c r="L3154" s="1"/>
      <c r="M3154" s="1"/>
      <c r="O3154" s="2"/>
      <c r="P3154" s="2"/>
    </row>
    <row r="3155" spans="1:16" x14ac:dyDescent="0.25">
      <c r="A3155" s="2"/>
      <c r="B3155" s="2"/>
      <c r="F3155" s="1"/>
      <c r="G3155" s="1"/>
      <c r="I3155" s="1"/>
      <c r="J3155" s="1"/>
      <c r="L3155" s="1"/>
      <c r="M3155" s="1"/>
      <c r="O3155" s="2"/>
      <c r="P3155" s="2"/>
    </row>
    <row r="3156" spans="1:16" x14ac:dyDescent="0.25">
      <c r="A3156" s="2"/>
      <c r="B3156" s="2"/>
      <c r="F3156" s="1"/>
      <c r="G3156" s="1"/>
      <c r="I3156" s="1"/>
      <c r="J3156" s="1"/>
      <c r="L3156" s="1"/>
      <c r="M3156" s="1"/>
      <c r="O3156" s="2"/>
      <c r="P3156" s="2"/>
    </row>
    <row r="3157" spans="1:16" x14ac:dyDescent="0.25">
      <c r="A3157" s="2"/>
      <c r="B3157" s="2"/>
      <c r="F3157" s="1"/>
      <c r="G3157" s="1"/>
      <c r="I3157" s="1"/>
      <c r="J3157" s="1"/>
      <c r="L3157" s="1"/>
      <c r="M3157" s="1"/>
      <c r="O3157" s="2"/>
      <c r="P3157" s="2"/>
    </row>
    <row r="3158" spans="1:16" x14ac:dyDescent="0.25">
      <c r="A3158" s="2"/>
      <c r="B3158" s="2"/>
      <c r="F3158" s="1"/>
      <c r="G3158" s="1"/>
      <c r="I3158" s="1"/>
      <c r="J3158" s="1"/>
      <c r="L3158" s="1"/>
      <c r="M3158" s="1"/>
      <c r="O3158" s="2"/>
      <c r="P3158" s="2"/>
    </row>
    <row r="3159" spans="1:16" x14ac:dyDescent="0.25">
      <c r="A3159" s="2"/>
      <c r="B3159" s="2"/>
      <c r="F3159" s="1"/>
      <c r="G3159" s="1"/>
      <c r="I3159" s="1"/>
      <c r="J3159" s="1"/>
      <c r="L3159" s="1"/>
      <c r="M3159" s="1"/>
      <c r="O3159" s="2"/>
      <c r="P3159" s="2"/>
    </row>
    <row r="3160" spans="1:16" x14ac:dyDescent="0.25">
      <c r="A3160" s="2"/>
      <c r="B3160" s="2"/>
      <c r="F3160" s="1"/>
      <c r="G3160" s="1"/>
      <c r="I3160" s="1"/>
      <c r="J3160" s="1"/>
      <c r="L3160" s="1"/>
      <c r="M3160" s="1"/>
      <c r="O3160" s="2"/>
      <c r="P3160" s="2"/>
    </row>
    <row r="3161" spans="1:16" x14ac:dyDescent="0.25">
      <c r="A3161" s="2"/>
      <c r="B3161" s="2"/>
      <c r="F3161" s="1"/>
      <c r="G3161" s="1"/>
      <c r="I3161" s="1"/>
      <c r="J3161" s="1"/>
      <c r="L3161" s="1"/>
      <c r="M3161" s="1"/>
      <c r="O3161" s="2"/>
      <c r="P3161" s="2"/>
    </row>
    <row r="3162" spans="1:16" x14ac:dyDescent="0.25">
      <c r="A3162" s="2"/>
      <c r="B3162" s="2"/>
      <c r="F3162" s="1"/>
      <c r="G3162" s="1"/>
      <c r="I3162" s="1"/>
      <c r="J3162" s="1"/>
      <c r="L3162" s="1"/>
      <c r="M3162" s="1"/>
      <c r="O3162" s="2"/>
      <c r="P3162" s="2"/>
    </row>
    <row r="3163" spans="1:16" x14ac:dyDescent="0.25">
      <c r="A3163" s="2"/>
      <c r="B3163" s="2"/>
      <c r="F3163" s="1"/>
      <c r="G3163" s="1"/>
      <c r="I3163" s="1"/>
      <c r="J3163" s="1"/>
      <c r="L3163" s="1"/>
      <c r="M3163" s="1"/>
      <c r="O3163" s="2"/>
      <c r="P3163" s="2"/>
    </row>
    <row r="3164" spans="1:16" x14ac:dyDescent="0.25">
      <c r="A3164" s="2"/>
      <c r="B3164" s="2"/>
      <c r="F3164" s="1"/>
      <c r="G3164" s="1"/>
      <c r="I3164" s="1"/>
      <c r="J3164" s="1"/>
      <c r="L3164" s="1"/>
      <c r="M3164" s="1"/>
      <c r="O3164" s="2"/>
      <c r="P3164" s="2"/>
    </row>
    <row r="3165" spans="1:16" x14ac:dyDescent="0.25">
      <c r="A3165" s="2"/>
      <c r="B3165" s="2"/>
      <c r="F3165" s="1"/>
      <c r="G3165" s="1"/>
      <c r="I3165" s="1"/>
      <c r="J3165" s="1"/>
      <c r="L3165" s="1"/>
      <c r="M3165" s="1"/>
      <c r="O3165" s="2"/>
      <c r="P3165" s="2"/>
    </row>
    <row r="3166" spans="1:16" x14ac:dyDescent="0.25">
      <c r="A3166" s="2"/>
      <c r="B3166" s="2"/>
      <c r="F3166" s="1"/>
      <c r="G3166" s="1"/>
      <c r="I3166" s="1"/>
      <c r="J3166" s="1"/>
      <c r="L3166" s="1"/>
      <c r="M3166" s="1"/>
      <c r="O3166" s="2"/>
      <c r="P3166" s="2"/>
    </row>
    <row r="3167" spans="1:16" x14ac:dyDescent="0.25">
      <c r="A3167" s="2"/>
      <c r="B3167" s="2"/>
      <c r="F3167" s="1"/>
      <c r="G3167" s="1"/>
      <c r="I3167" s="1"/>
      <c r="J3167" s="1"/>
      <c r="L3167" s="1"/>
      <c r="M3167" s="1"/>
      <c r="O3167" s="2"/>
      <c r="P3167" s="2"/>
    </row>
    <row r="3168" spans="1:16" x14ac:dyDescent="0.25">
      <c r="A3168" s="2"/>
      <c r="B3168" s="2"/>
      <c r="F3168" s="1"/>
      <c r="G3168" s="1"/>
      <c r="I3168" s="1"/>
      <c r="J3168" s="1"/>
      <c r="L3168" s="1"/>
      <c r="M3168" s="1"/>
      <c r="O3168" s="2"/>
      <c r="P3168" s="2"/>
    </row>
    <row r="3169" spans="1:16" x14ac:dyDescent="0.25">
      <c r="A3169" s="2"/>
      <c r="B3169" s="2"/>
      <c r="F3169" s="1"/>
      <c r="G3169" s="1"/>
      <c r="I3169" s="1"/>
      <c r="J3169" s="1"/>
      <c r="L3169" s="1"/>
      <c r="M3169" s="1"/>
      <c r="O3169" s="2"/>
      <c r="P3169" s="2"/>
    </row>
    <row r="3170" spans="1:16" x14ac:dyDescent="0.25">
      <c r="A3170" s="2"/>
      <c r="B3170" s="2"/>
      <c r="F3170" s="1"/>
      <c r="G3170" s="1"/>
      <c r="I3170" s="1"/>
      <c r="J3170" s="1"/>
      <c r="L3170" s="1"/>
      <c r="M3170" s="1"/>
      <c r="O3170" s="2"/>
      <c r="P3170" s="2"/>
    </row>
    <row r="3171" spans="1:16" x14ac:dyDescent="0.25">
      <c r="A3171" s="2"/>
      <c r="B3171" s="2"/>
      <c r="F3171" s="1"/>
      <c r="G3171" s="1"/>
      <c r="I3171" s="1"/>
      <c r="J3171" s="1"/>
      <c r="L3171" s="1"/>
      <c r="M3171" s="1"/>
      <c r="O3171" s="2"/>
      <c r="P3171" s="2"/>
    </row>
    <row r="3172" spans="1:16" x14ac:dyDescent="0.25">
      <c r="A3172" s="2"/>
      <c r="B3172" s="2"/>
      <c r="F3172" s="1"/>
      <c r="G3172" s="1"/>
      <c r="I3172" s="1"/>
      <c r="J3172" s="1"/>
      <c r="L3172" s="1"/>
      <c r="M3172" s="1"/>
      <c r="O3172" s="2"/>
      <c r="P3172" s="2"/>
    </row>
    <row r="3173" spans="1:16" x14ac:dyDescent="0.25">
      <c r="A3173" s="2"/>
      <c r="B3173" s="2"/>
      <c r="F3173" s="1"/>
      <c r="G3173" s="1"/>
      <c r="I3173" s="1"/>
      <c r="J3173" s="1"/>
      <c r="L3173" s="1"/>
      <c r="M3173" s="1"/>
      <c r="O3173" s="2"/>
      <c r="P3173" s="2"/>
    </row>
    <row r="3174" spans="1:16" x14ac:dyDescent="0.25">
      <c r="A3174" s="2"/>
      <c r="B3174" s="2"/>
      <c r="F3174" s="1"/>
      <c r="G3174" s="1"/>
      <c r="I3174" s="1"/>
      <c r="J3174" s="1"/>
      <c r="L3174" s="1"/>
      <c r="M3174" s="1"/>
      <c r="O3174" s="2"/>
      <c r="P3174" s="2"/>
    </row>
    <row r="3175" spans="1:16" x14ac:dyDescent="0.25">
      <c r="A3175" s="2"/>
      <c r="B3175" s="2"/>
      <c r="F3175" s="1"/>
      <c r="G3175" s="1"/>
      <c r="I3175" s="1"/>
      <c r="J3175" s="1"/>
      <c r="L3175" s="1"/>
      <c r="M3175" s="1"/>
      <c r="O3175" s="2"/>
      <c r="P3175" s="2"/>
    </row>
    <row r="3176" spans="1:16" x14ac:dyDescent="0.25">
      <c r="A3176" s="2"/>
      <c r="B3176" s="2"/>
      <c r="F3176" s="1"/>
      <c r="G3176" s="1"/>
      <c r="I3176" s="1"/>
      <c r="J3176" s="1"/>
      <c r="L3176" s="1"/>
      <c r="M3176" s="1"/>
      <c r="O3176" s="2"/>
      <c r="P3176" s="2"/>
    </row>
    <row r="3177" spans="1:16" x14ac:dyDescent="0.25">
      <c r="A3177" s="2"/>
      <c r="B3177" s="2"/>
      <c r="F3177" s="1"/>
      <c r="G3177" s="1"/>
      <c r="I3177" s="1"/>
      <c r="J3177" s="1"/>
      <c r="L3177" s="1"/>
      <c r="M3177" s="1"/>
      <c r="O3177" s="2"/>
      <c r="P3177" s="2"/>
    </row>
    <row r="3178" spans="1:16" x14ac:dyDescent="0.25">
      <c r="A3178" s="2"/>
      <c r="B3178" s="2"/>
      <c r="F3178" s="1"/>
      <c r="G3178" s="1"/>
      <c r="I3178" s="1"/>
      <c r="J3178" s="1"/>
      <c r="L3178" s="1"/>
      <c r="M3178" s="1"/>
      <c r="O3178" s="2"/>
      <c r="P3178" s="2"/>
    </row>
    <row r="3179" spans="1:16" x14ac:dyDescent="0.25">
      <c r="A3179" s="2"/>
      <c r="B3179" s="2"/>
      <c r="F3179" s="1"/>
      <c r="G3179" s="1"/>
      <c r="I3179" s="1"/>
      <c r="J3179" s="1"/>
      <c r="L3179" s="1"/>
      <c r="M3179" s="1"/>
      <c r="O3179" s="2"/>
      <c r="P3179" s="2"/>
    </row>
    <row r="3180" spans="1:16" x14ac:dyDescent="0.25">
      <c r="A3180" s="2"/>
      <c r="B3180" s="2"/>
      <c r="F3180" s="1"/>
      <c r="G3180" s="1"/>
      <c r="I3180" s="1"/>
      <c r="J3180" s="1"/>
      <c r="L3180" s="1"/>
      <c r="M3180" s="1"/>
      <c r="O3180" s="2"/>
      <c r="P3180" s="2"/>
    </row>
    <row r="3181" spans="1:16" x14ac:dyDescent="0.25">
      <c r="A3181" s="2"/>
      <c r="B3181" s="2"/>
      <c r="F3181" s="1"/>
      <c r="G3181" s="1"/>
      <c r="I3181" s="1"/>
      <c r="J3181" s="1"/>
      <c r="L3181" s="1"/>
      <c r="M3181" s="1"/>
      <c r="O3181" s="2"/>
      <c r="P3181" s="2"/>
    </row>
    <row r="3182" spans="1:16" x14ac:dyDescent="0.25">
      <c r="A3182" s="2"/>
      <c r="B3182" s="2"/>
      <c r="F3182" s="1"/>
      <c r="G3182" s="1"/>
      <c r="I3182" s="1"/>
      <c r="J3182" s="1"/>
      <c r="L3182" s="1"/>
      <c r="M3182" s="1"/>
      <c r="O3182" s="2"/>
      <c r="P3182" s="2"/>
    </row>
    <row r="3183" spans="1:16" x14ac:dyDescent="0.25">
      <c r="A3183" s="2"/>
      <c r="B3183" s="2"/>
      <c r="F3183" s="1"/>
      <c r="G3183" s="1"/>
      <c r="I3183" s="1"/>
      <c r="J3183" s="1"/>
      <c r="L3183" s="1"/>
      <c r="M3183" s="1"/>
      <c r="O3183" s="2"/>
      <c r="P3183" s="2"/>
    </row>
    <row r="3184" spans="1:16" x14ac:dyDescent="0.25">
      <c r="A3184" s="2"/>
      <c r="B3184" s="2"/>
      <c r="F3184" s="1"/>
      <c r="G3184" s="1"/>
      <c r="I3184" s="1"/>
      <c r="J3184" s="1"/>
      <c r="L3184" s="1"/>
      <c r="M3184" s="1"/>
      <c r="O3184" s="2"/>
      <c r="P3184" s="2"/>
    </row>
    <row r="3185" spans="1:16" x14ac:dyDescent="0.25">
      <c r="A3185" s="2"/>
      <c r="B3185" s="2"/>
      <c r="F3185" s="1"/>
      <c r="G3185" s="1"/>
      <c r="I3185" s="1"/>
      <c r="J3185" s="1"/>
      <c r="L3185" s="1"/>
      <c r="M3185" s="1"/>
      <c r="O3185" s="2"/>
      <c r="P3185" s="2"/>
    </row>
    <row r="3186" spans="1:16" x14ac:dyDescent="0.25">
      <c r="A3186" s="2"/>
      <c r="B3186" s="2"/>
      <c r="F3186" s="1"/>
      <c r="G3186" s="1"/>
      <c r="I3186" s="1"/>
      <c r="J3186" s="1"/>
      <c r="L3186" s="1"/>
      <c r="M3186" s="1"/>
      <c r="O3186" s="2"/>
      <c r="P3186" s="2"/>
    </row>
    <row r="3187" spans="1:16" x14ac:dyDescent="0.25">
      <c r="A3187" s="2"/>
      <c r="B3187" s="2"/>
      <c r="F3187" s="1"/>
      <c r="G3187" s="1"/>
      <c r="I3187" s="1"/>
      <c r="J3187" s="1"/>
      <c r="L3187" s="1"/>
      <c r="M3187" s="1"/>
      <c r="O3187" s="2"/>
      <c r="P3187" s="2"/>
    </row>
    <row r="3188" spans="1:16" x14ac:dyDescent="0.25">
      <c r="A3188" s="2"/>
      <c r="B3188" s="2"/>
      <c r="F3188" s="1"/>
      <c r="G3188" s="1"/>
      <c r="I3188" s="1"/>
      <c r="J3188" s="1"/>
      <c r="L3188" s="1"/>
      <c r="M3188" s="1"/>
      <c r="O3188" s="2"/>
      <c r="P3188" s="2"/>
    </row>
    <row r="3189" spans="1:16" x14ac:dyDescent="0.25">
      <c r="A3189" s="2"/>
      <c r="B3189" s="2"/>
      <c r="F3189" s="1"/>
      <c r="G3189" s="1"/>
      <c r="I3189" s="1"/>
      <c r="J3189" s="1"/>
      <c r="L3189" s="1"/>
      <c r="M3189" s="1"/>
      <c r="O3189" s="2"/>
      <c r="P3189" s="2"/>
    </row>
    <row r="3190" spans="1:16" x14ac:dyDescent="0.25">
      <c r="A3190" s="2"/>
      <c r="B3190" s="2"/>
      <c r="F3190" s="1"/>
      <c r="G3190" s="1"/>
      <c r="I3190" s="1"/>
      <c r="J3190" s="1"/>
      <c r="L3190" s="1"/>
      <c r="M3190" s="1"/>
      <c r="O3190" s="2"/>
      <c r="P3190" s="2"/>
    </row>
    <row r="3191" spans="1:16" x14ac:dyDescent="0.25">
      <c r="A3191" s="2"/>
      <c r="B3191" s="2"/>
      <c r="F3191" s="1"/>
      <c r="G3191" s="1"/>
      <c r="I3191" s="1"/>
      <c r="J3191" s="1"/>
      <c r="L3191" s="1"/>
      <c r="M3191" s="1"/>
      <c r="O3191" s="2"/>
      <c r="P3191" s="2"/>
    </row>
    <row r="3192" spans="1:16" x14ac:dyDescent="0.25">
      <c r="A3192" s="2"/>
      <c r="B3192" s="2"/>
      <c r="F3192" s="1"/>
      <c r="G3192" s="1"/>
      <c r="I3192" s="1"/>
      <c r="J3192" s="1"/>
      <c r="L3192" s="1"/>
      <c r="M3192" s="1"/>
      <c r="O3192" s="2"/>
      <c r="P3192" s="2"/>
    </row>
    <row r="3193" spans="1:16" x14ac:dyDescent="0.25">
      <c r="A3193" s="2"/>
      <c r="B3193" s="2"/>
      <c r="F3193" s="1"/>
      <c r="G3193" s="1"/>
      <c r="I3193" s="1"/>
      <c r="J3193" s="1"/>
      <c r="L3193" s="1"/>
      <c r="M3193" s="1"/>
      <c r="O3193" s="2"/>
      <c r="P3193" s="2"/>
    </row>
    <row r="3194" spans="1:16" x14ac:dyDescent="0.25">
      <c r="A3194" s="2"/>
      <c r="B3194" s="2"/>
      <c r="F3194" s="1"/>
      <c r="G3194" s="1"/>
      <c r="I3194" s="1"/>
      <c r="J3194" s="1"/>
      <c r="L3194" s="1"/>
      <c r="M3194" s="1"/>
      <c r="O3194" s="2"/>
      <c r="P3194" s="2"/>
    </row>
    <row r="3195" spans="1:16" x14ac:dyDescent="0.25">
      <c r="A3195" s="2"/>
      <c r="B3195" s="2"/>
      <c r="F3195" s="1"/>
      <c r="G3195" s="1"/>
      <c r="I3195" s="1"/>
      <c r="J3195" s="1"/>
      <c r="L3195" s="1"/>
      <c r="M3195" s="1"/>
      <c r="O3195" s="2"/>
      <c r="P3195" s="2"/>
    </row>
    <row r="3196" spans="1:16" x14ac:dyDescent="0.25">
      <c r="A3196" s="2"/>
      <c r="B3196" s="2"/>
      <c r="F3196" s="1"/>
      <c r="G3196" s="1"/>
      <c r="I3196" s="1"/>
      <c r="J3196" s="1"/>
      <c r="L3196" s="1"/>
      <c r="M3196" s="1"/>
      <c r="O3196" s="2"/>
      <c r="P3196" s="2"/>
    </row>
    <row r="3197" spans="1:16" x14ac:dyDescent="0.25">
      <c r="A3197" s="2"/>
      <c r="B3197" s="2"/>
      <c r="F3197" s="1"/>
      <c r="G3197" s="1"/>
      <c r="I3197" s="1"/>
      <c r="J3197" s="1"/>
      <c r="L3197" s="1"/>
      <c r="M3197" s="1"/>
      <c r="O3197" s="2"/>
      <c r="P3197" s="2"/>
    </row>
    <row r="3198" spans="1:16" x14ac:dyDescent="0.25">
      <c r="A3198" s="2"/>
      <c r="B3198" s="2"/>
      <c r="F3198" s="1"/>
      <c r="G3198" s="1"/>
      <c r="I3198" s="1"/>
      <c r="J3198" s="1"/>
      <c r="L3198" s="1"/>
      <c r="M3198" s="1"/>
      <c r="O3198" s="2"/>
      <c r="P3198" s="2"/>
    </row>
    <row r="3199" spans="1:16" x14ac:dyDescent="0.25">
      <c r="A3199" s="2"/>
      <c r="B3199" s="2"/>
      <c r="F3199" s="1"/>
      <c r="G3199" s="1"/>
      <c r="I3199" s="1"/>
      <c r="J3199" s="1"/>
      <c r="L3199" s="1"/>
      <c r="M3199" s="1"/>
      <c r="O3199" s="2"/>
      <c r="P3199" s="2"/>
    </row>
    <row r="3200" spans="1:16" x14ac:dyDescent="0.25">
      <c r="A3200" s="2"/>
      <c r="B3200" s="2"/>
      <c r="F3200" s="1"/>
      <c r="G3200" s="1"/>
      <c r="I3200" s="1"/>
      <c r="J3200" s="1"/>
      <c r="L3200" s="1"/>
      <c r="M3200" s="1"/>
      <c r="O3200" s="2"/>
      <c r="P3200" s="2"/>
    </row>
    <row r="3201" spans="1:16" x14ac:dyDescent="0.25">
      <c r="A3201" s="2"/>
      <c r="B3201" s="2"/>
      <c r="F3201" s="1"/>
      <c r="G3201" s="1"/>
      <c r="I3201" s="1"/>
      <c r="J3201" s="1"/>
      <c r="L3201" s="1"/>
      <c r="M3201" s="1"/>
      <c r="O3201" s="2"/>
      <c r="P3201" s="2"/>
    </row>
    <row r="3202" spans="1:16" x14ac:dyDescent="0.25">
      <c r="A3202" s="2"/>
      <c r="B3202" s="2"/>
      <c r="F3202" s="1"/>
      <c r="G3202" s="1"/>
      <c r="I3202" s="1"/>
      <c r="J3202" s="1"/>
      <c r="L3202" s="1"/>
      <c r="M3202" s="1"/>
      <c r="O3202" s="2"/>
      <c r="P3202" s="2"/>
    </row>
    <row r="3203" spans="1:16" x14ac:dyDescent="0.25">
      <c r="A3203" s="2"/>
      <c r="B3203" s="2"/>
      <c r="F3203" s="1"/>
      <c r="G3203" s="1"/>
      <c r="I3203" s="1"/>
      <c r="J3203" s="1"/>
      <c r="L3203" s="1"/>
      <c r="M3203" s="1"/>
      <c r="O3203" s="2"/>
      <c r="P3203" s="2"/>
    </row>
    <row r="3204" spans="1:16" x14ac:dyDescent="0.25">
      <c r="A3204" s="2"/>
      <c r="B3204" s="2"/>
      <c r="F3204" s="1"/>
      <c r="G3204" s="1"/>
      <c r="I3204" s="1"/>
      <c r="J3204" s="1"/>
      <c r="L3204" s="1"/>
      <c r="M3204" s="1"/>
      <c r="O3204" s="2"/>
      <c r="P3204" s="2"/>
    </row>
    <row r="3205" spans="1:16" x14ac:dyDescent="0.25">
      <c r="A3205" s="2"/>
      <c r="B3205" s="2"/>
      <c r="F3205" s="1"/>
      <c r="G3205" s="1"/>
      <c r="I3205" s="1"/>
      <c r="J3205" s="1"/>
      <c r="L3205" s="1"/>
      <c r="M3205" s="1"/>
      <c r="O3205" s="2"/>
      <c r="P3205" s="2"/>
    </row>
    <row r="3206" spans="1:16" x14ac:dyDescent="0.25">
      <c r="A3206" s="2"/>
      <c r="B3206" s="2"/>
      <c r="F3206" s="1"/>
      <c r="G3206" s="1"/>
      <c r="I3206" s="1"/>
      <c r="J3206" s="1"/>
      <c r="L3206" s="1"/>
      <c r="M3206" s="1"/>
      <c r="O3206" s="2"/>
      <c r="P3206" s="2"/>
    </row>
    <row r="3207" spans="1:16" x14ac:dyDescent="0.25">
      <c r="A3207" s="2"/>
      <c r="B3207" s="2"/>
      <c r="F3207" s="1"/>
      <c r="G3207" s="1"/>
      <c r="I3207" s="1"/>
      <c r="J3207" s="1"/>
      <c r="L3207" s="1"/>
      <c r="M3207" s="1"/>
      <c r="O3207" s="2"/>
      <c r="P3207" s="2"/>
    </row>
    <row r="3208" spans="1:16" x14ac:dyDescent="0.25">
      <c r="A3208" s="2"/>
      <c r="B3208" s="2"/>
      <c r="F3208" s="1"/>
      <c r="G3208" s="1"/>
      <c r="I3208" s="1"/>
      <c r="J3208" s="1"/>
      <c r="L3208" s="1"/>
      <c r="M3208" s="1"/>
      <c r="O3208" s="2"/>
      <c r="P3208" s="2"/>
    </row>
    <row r="3209" spans="1:16" x14ac:dyDescent="0.25">
      <c r="A3209" s="2"/>
      <c r="B3209" s="2"/>
      <c r="F3209" s="1"/>
      <c r="G3209" s="1"/>
      <c r="I3209" s="1"/>
      <c r="J3209" s="1"/>
      <c r="L3209" s="1"/>
      <c r="M3209" s="1"/>
      <c r="O3209" s="2"/>
      <c r="P3209" s="2"/>
    </row>
    <row r="3210" spans="1:16" x14ac:dyDescent="0.25">
      <c r="A3210" s="2"/>
      <c r="B3210" s="2"/>
      <c r="F3210" s="1"/>
      <c r="G3210" s="1"/>
      <c r="I3210" s="1"/>
      <c r="J3210" s="1"/>
      <c r="L3210" s="1"/>
      <c r="M3210" s="1"/>
      <c r="O3210" s="2"/>
      <c r="P3210" s="2"/>
    </row>
    <row r="3211" spans="1:16" x14ac:dyDescent="0.25">
      <c r="A3211" s="2"/>
      <c r="B3211" s="2"/>
      <c r="F3211" s="1"/>
      <c r="G3211" s="1"/>
      <c r="I3211" s="1"/>
      <c r="J3211" s="1"/>
      <c r="L3211" s="1"/>
      <c r="M3211" s="1"/>
      <c r="O3211" s="2"/>
      <c r="P3211" s="2"/>
    </row>
    <row r="3212" spans="1:16" x14ac:dyDescent="0.25">
      <c r="A3212" s="2"/>
      <c r="B3212" s="2"/>
      <c r="F3212" s="1"/>
      <c r="G3212" s="1"/>
      <c r="I3212" s="1"/>
      <c r="J3212" s="1"/>
      <c r="L3212" s="1"/>
      <c r="M3212" s="1"/>
      <c r="O3212" s="2"/>
      <c r="P3212" s="2"/>
    </row>
    <row r="3213" spans="1:16" x14ac:dyDescent="0.25">
      <c r="A3213" s="2"/>
      <c r="B3213" s="2"/>
      <c r="F3213" s="1"/>
      <c r="G3213" s="1"/>
      <c r="I3213" s="1"/>
      <c r="J3213" s="1"/>
      <c r="L3213" s="1"/>
      <c r="M3213" s="1"/>
      <c r="O3213" s="2"/>
      <c r="P3213" s="2"/>
    </row>
    <row r="3214" spans="1:16" x14ac:dyDescent="0.25">
      <c r="A3214" s="2"/>
      <c r="B3214" s="2"/>
      <c r="F3214" s="1"/>
      <c r="G3214" s="1"/>
      <c r="I3214" s="1"/>
      <c r="J3214" s="1"/>
      <c r="L3214" s="1"/>
      <c r="M3214" s="1"/>
      <c r="O3214" s="2"/>
      <c r="P3214" s="2"/>
    </row>
    <row r="3215" spans="1:16" x14ac:dyDescent="0.25">
      <c r="A3215" s="2"/>
      <c r="B3215" s="2"/>
      <c r="F3215" s="1"/>
      <c r="G3215" s="1"/>
      <c r="I3215" s="1"/>
      <c r="J3215" s="1"/>
      <c r="L3215" s="1"/>
      <c r="M3215" s="1"/>
      <c r="O3215" s="2"/>
      <c r="P3215" s="2"/>
    </row>
    <row r="3216" spans="1:16" x14ac:dyDescent="0.25">
      <c r="A3216" s="2"/>
      <c r="B3216" s="2"/>
      <c r="F3216" s="1"/>
      <c r="G3216" s="1"/>
      <c r="I3216" s="1"/>
      <c r="J3216" s="1"/>
      <c r="L3216" s="1"/>
      <c r="M3216" s="1"/>
      <c r="O3216" s="2"/>
      <c r="P3216" s="2"/>
    </row>
    <row r="3217" spans="1:16" x14ac:dyDescent="0.25">
      <c r="A3217" s="2"/>
      <c r="B3217" s="2"/>
      <c r="F3217" s="1"/>
      <c r="G3217" s="1"/>
      <c r="I3217" s="1"/>
      <c r="J3217" s="1"/>
      <c r="L3217" s="1"/>
      <c r="M3217" s="1"/>
      <c r="O3217" s="2"/>
      <c r="P3217" s="2"/>
    </row>
    <row r="3218" spans="1:16" x14ac:dyDescent="0.25">
      <c r="A3218" s="2"/>
      <c r="B3218" s="2"/>
      <c r="F3218" s="1"/>
      <c r="G3218" s="1"/>
      <c r="I3218" s="1"/>
      <c r="J3218" s="1"/>
      <c r="L3218" s="1"/>
      <c r="M3218" s="1"/>
      <c r="O3218" s="2"/>
      <c r="P3218" s="2"/>
    </row>
    <row r="3219" spans="1:16" x14ac:dyDescent="0.25">
      <c r="A3219" s="2"/>
      <c r="B3219" s="2"/>
      <c r="F3219" s="1"/>
      <c r="G3219" s="1"/>
      <c r="I3219" s="1"/>
      <c r="J3219" s="1"/>
      <c r="L3219" s="1"/>
      <c r="M3219" s="1"/>
      <c r="O3219" s="2"/>
      <c r="P3219" s="2"/>
    </row>
    <row r="3220" spans="1:16" x14ac:dyDescent="0.25">
      <c r="A3220" s="2"/>
      <c r="B3220" s="2"/>
      <c r="F3220" s="1"/>
      <c r="G3220" s="1"/>
      <c r="I3220" s="1"/>
      <c r="J3220" s="1"/>
      <c r="L3220" s="1"/>
      <c r="M3220" s="1"/>
      <c r="O3220" s="2"/>
      <c r="P3220" s="2"/>
    </row>
    <row r="3221" spans="1:16" x14ac:dyDescent="0.25">
      <c r="A3221" s="2"/>
      <c r="B3221" s="2"/>
      <c r="F3221" s="1"/>
      <c r="G3221" s="1"/>
      <c r="I3221" s="1"/>
      <c r="J3221" s="1"/>
      <c r="L3221" s="1"/>
      <c r="M3221" s="1"/>
      <c r="O3221" s="2"/>
      <c r="P3221" s="2"/>
    </row>
    <row r="3222" spans="1:16" x14ac:dyDescent="0.25">
      <c r="A3222" s="2"/>
      <c r="B3222" s="2"/>
      <c r="F3222" s="1"/>
      <c r="G3222" s="1"/>
      <c r="I3222" s="1"/>
      <c r="J3222" s="1"/>
      <c r="L3222" s="1"/>
      <c r="M3222" s="1"/>
      <c r="O3222" s="2"/>
      <c r="P3222" s="2"/>
    </row>
    <row r="3223" spans="1:16" x14ac:dyDescent="0.25">
      <c r="A3223" s="2"/>
      <c r="B3223" s="2"/>
      <c r="F3223" s="1"/>
      <c r="G3223" s="1"/>
      <c r="I3223" s="1"/>
      <c r="J3223" s="1"/>
      <c r="L3223" s="1"/>
      <c r="M3223" s="1"/>
      <c r="O3223" s="2"/>
      <c r="P3223" s="2"/>
    </row>
    <row r="3224" spans="1:16" x14ac:dyDescent="0.25">
      <c r="A3224" s="2"/>
      <c r="B3224" s="2"/>
      <c r="F3224" s="1"/>
      <c r="G3224" s="1"/>
      <c r="I3224" s="1"/>
      <c r="J3224" s="1"/>
      <c r="L3224" s="1"/>
      <c r="M3224" s="1"/>
      <c r="O3224" s="2"/>
      <c r="P3224" s="2"/>
    </row>
    <row r="3225" spans="1:16" x14ac:dyDescent="0.25">
      <c r="A3225" s="2"/>
      <c r="B3225" s="2"/>
      <c r="F3225" s="1"/>
      <c r="G3225" s="1"/>
      <c r="I3225" s="1"/>
      <c r="J3225" s="1"/>
      <c r="L3225" s="1"/>
      <c r="M3225" s="1"/>
      <c r="O3225" s="2"/>
      <c r="P3225" s="2"/>
    </row>
    <row r="3226" spans="1:16" x14ac:dyDescent="0.25">
      <c r="A3226" s="2"/>
      <c r="B3226" s="2"/>
      <c r="F3226" s="1"/>
      <c r="G3226" s="1"/>
      <c r="I3226" s="1"/>
      <c r="J3226" s="1"/>
      <c r="L3226" s="1"/>
      <c r="M3226" s="1"/>
      <c r="O3226" s="2"/>
      <c r="P3226" s="2"/>
    </row>
    <row r="3227" spans="1:16" x14ac:dyDescent="0.25">
      <c r="A3227" s="2"/>
      <c r="B3227" s="2"/>
      <c r="F3227" s="1"/>
      <c r="G3227" s="1"/>
      <c r="I3227" s="1"/>
      <c r="J3227" s="1"/>
      <c r="L3227" s="1"/>
      <c r="M3227" s="1"/>
      <c r="O3227" s="2"/>
      <c r="P3227" s="2"/>
    </row>
    <row r="3228" spans="1:16" x14ac:dyDescent="0.25">
      <c r="A3228" s="2"/>
      <c r="B3228" s="2"/>
      <c r="F3228" s="1"/>
      <c r="G3228" s="1"/>
      <c r="I3228" s="1"/>
      <c r="J3228" s="1"/>
      <c r="L3228" s="1"/>
      <c r="M3228" s="1"/>
      <c r="O3228" s="2"/>
      <c r="P3228" s="2"/>
    </row>
    <row r="3229" spans="1:16" x14ac:dyDescent="0.25">
      <c r="A3229" s="2"/>
      <c r="B3229" s="2"/>
      <c r="F3229" s="1"/>
      <c r="G3229" s="1"/>
      <c r="I3229" s="1"/>
      <c r="J3229" s="1"/>
      <c r="L3229" s="1"/>
      <c r="M3229" s="1"/>
      <c r="O3229" s="2"/>
      <c r="P3229" s="2"/>
    </row>
    <row r="3230" spans="1:16" x14ac:dyDescent="0.25">
      <c r="A3230" s="2"/>
      <c r="B3230" s="2"/>
      <c r="F3230" s="1"/>
      <c r="G3230" s="1"/>
      <c r="I3230" s="1"/>
      <c r="J3230" s="1"/>
      <c r="L3230" s="1"/>
      <c r="M3230" s="1"/>
      <c r="O3230" s="2"/>
      <c r="P3230" s="2"/>
    </row>
    <row r="3231" spans="1:16" x14ac:dyDescent="0.25">
      <c r="A3231" s="2"/>
      <c r="B3231" s="2"/>
      <c r="F3231" s="1"/>
      <c r="G3231" s="1"/>
      <c r="I3231" s="1"/>
      <c r="J3231" s="1"/>
      <c r="L3231" s="1"/>
      <c r="M3231" s="1"/>
      <c r="O3231" s="2"/>
      <c r="P3231" s="2"/>
    </row>
    <row r="3232" spans="1:16" x14ac:dyDescent="0.25">
      <c r="A3232" s="2"/>
      <c r="B3232" s="2"/>
      <c r="F3232" s="1"/>
      <c r="G3232" s="1"/>
      <c r="I3232" s="1"/>
      <c r="J3232" s="1"/>
      <c r="L3232" s="1"/>
      <c r="M3232" s="1"/>
      <c r="O3232" s="2"/>
      <c r="P3232" s="2"/>
    </row>
    <row r="3233" spans="1:16" x14ac:dyDescent="0.25">
      <c r="A3233" s="2"/>
      <c r="B3233" s="2"/>
      <c r="F3233" s="1"/>
      <c r="G3233" s="1"/>
      <c r="I3233" s="1"/>
      <c r="J3233" s="1"/>
      <c r="L3233" s="1"/>
      <c r="M3233" s="1"/>
      <c r="O3233" s="2"/>
      <c r="P3233" s="2"/>
    </row>
    <row r="3234" spans="1:16" x14ac:dyDescent="0.25">
      <c r="A3234" s="2"/>
      <c r="B3234" s="2"/>
      <c r="F3234" s="1"/>
      <c r="G3234" s="1"/>
      <c r="I3234" s="1"/>
      <c r="J3234" s="1"/>
      <c r="L3234" s="1"/>
      <c r="M3234" s="1"/>
      <c r="O3234" s="2"/>
      <c r="P3234" s="2"/>
    </row>
    <row r="3235" spans="1:16" x14ac:dyDescent="0.25">
      <c r="A3235" s="2"/>
      <c r="B3235" s="2"/>
      <c r="F3235" s="1"/>
      <c r="G3235" s="1"/>
      <c r="I3235" s="1"/>
      <c r="J3235" s="1"/>
      <c r="L3235" s="1"/>
      <c r="M3235" s="1"/>
      <c r="O3235" s="2"/>
      <c r="P3235" s="2"/>
    </row>
    <row r="3236" spans="1:16" x14ac:dyDescent="0.25">
      <c r="A3236" s="2"/>
      <c r="B3236" s="2"/>
      <c r="F3236" s="1"/>
      <c r="G3236" s="1"/>
      <c r="I3236" s="1"/>
      <c r="J3236" s="1"/>
      <c r="L3236" s="1"/>
      <c r="M3236" s="1"/>
      <c r="O3236" s="2"/>
      <c r="P3236" s="2"/>
    </row>
    <row r="3237" spans="1:16" x14ac:dyDescent="0.25">
      <c r="A3237" s="2"/>
      <c r="B3237" s="2"/>
      <c r="F3237" s="1"/>
      <c r="G3237" s="1"/>
      <c r="I3237" s="1"/>
      <c r="J3237" s="1"/>
      <c r="L3237" s="1"/>
      <c r="M3237" s="1"/>
      <c r="O3237" s="2"/>
      <c r="P3237" s="2"/>
    </row>
    <row r="3238" spans="1:16" x14ac:dyDescent="0.25">
      <c r="A3238" s="2"/>
      <c r="B3238" s="2"/>
      <c r="F3238" s="1"/>
      <c r="G3238" s="1"/>
      <c r="I3238" s="1"/>
      <c r="J3238" s="1"/>
      <c r="L3238" s="1"/>
      <c r="M3238" s="1"/>
      <c r="O3238" s="2"/>
      <c r="P3238" s="2"/>
    </row>
    <row r="3239" spans="1:16" x14ac:dyDescent="0.25">
      <c r="A3239" s="2"/>
      <c r="B3239" s="2"/>
      <c r="F3239" s="1"/>
      <c r="G3239" s="1"/>
      <c r="I3239" s="1"/>
      <c r="J3239" s="1"/>
      <c r="L3239" s="1"/>
      <c r="M3239" s="1"/>
      <c r="O3239" s="2"/>
      <c r="P3239" s="2"/>
    </row>
    <row r="3240" spans="1:16" x14ac:dyDescent="0.25">
      <c r="A3240" s="2"/>
      <c r="B3240" s="2"/>
      <c r="F3240" s="1"/>
      <c r="G3240" s="1"/>
      <c r="I3240" s="1"/>
      <c r="J3240" s="1"/>
      <c r="L3240" s="1"/>
      <c r="M3240" s="1"/>
      <c r="O3240" s="2"/>
      <c r="P3240" s="2"/>
    </row>
    <row r="3241" spans="1:16" x14ac:dyDescent="0.25">
      <c r="A3241" s="2"/>
      <c r="B3241" s="2"/>
      <c r="F3241" s="1"/>
      <c r="G3241" s="1"/>
      <c r="I3241" s="1"/>
      <c r="J3241" s="1"/>
      <c r="L3241" s="1"/>
      <c r="M3241" s="1"/>
      <c r="O3241" s="2"/>
      <c r="P3241" s="2"/>
    </row>
    <row r="3242" spans="1:16" x14ac:dyDescent="0.25">
      <c r="A3242" s="2"/>
      <c r="B3242" s="2"/>
      <c r="F3242" s="1"/>
      <c r="G3242" s="1"/>
      <c r="I3242" s="1"/>
      <c r="J3242" s="1"/>
      <c r="L3242" s="1"/>
      <c r="M3242" s="1"/>
      <c r="O3242" s="2"/>
      <c r="P3242" s="2"/>
    </row>
    <row r="3243" spans="1:16" x14ac:dyDescent="0.25">
      <c r="A3243" s="2"/>
      <c r="B3243" s="2"/>
      <c r="F3243" s="1"/>
      <c r="G3243" s="1"/>
      <c r="I3243" s="1"/>
      <c r="J3243" s="1"/>
      <c r="L3243" s="1"/>
      <c r="M3243" s="1"/>
      <c r="O3243" s="2"/>
      <c r="P3243" s="2"/>
    </row>
    <row r="3244" spans="1:16" x14ac:dyDescent="0.25">
      <c r="A3244" s="2"/>
      <c r="B3244" s="2"/>
      <c r="F3244" s="1"/>
      <c r="G3244" s="1"/>
      <c r="I3244" s="1"/>
      <c r="J3244" s="1"/>
      <c r="L3244" s="1"/>
      <c r="M3244" s="1"/>
      <c r="O3244" s="2"/>
      <c r="P3244" s="2"/>
    </row>
    <row r="3245" spans="1:16" x14ac:dyDescent="0.25">
      <c r="A3245" s="2"/>
      <c r="B3245" s="2"/>
      <c r="F3245" s="1"/>
      <c r="G3245" s="1"/>
      <c r="I3245" s="1"/>
      <c r="J3245" s="1"/>
      <c r="L3245" s="1"/>
      <c r="M3245" s="1"/>
      <c r="O3245" s="2"/>
      <c r="P3245" s="2"/>
    </row>
    <row r="3246" spans="1:16" x14ac:dyDescent="0.25">
      <c r="A3246" s="2"/>
      <c r="B3246" s="2"/>
      <c r="F3246" s="1"/>
      <c r="G3246" s="1"/>
      <c r="I3246" s="1"/>
      <c r="J3246" s="1"/>
      <c r="L3246" s="1"/>
      <c r="M3246" s="1"/>
      <c r="O3246" s="2"/>
      <c r="P3246" s="2"/>
    </row>
    <row r="3247" spans="1:16" x14ac:dyDescent="0.25">
      <c r="A3247" s="2"/>
      <c r="B3247" s="2"/>
      <c r="F3247" s="1"/>
      <c r="G3247" s="1"/>
      <c r="I3247" s="1"/>
      <c r="J3247" s="1"/>
      <c r="L3247" s="1"/>
      <c r="M3247" s="1"/>
      <c r="O3247" s="2"/>
      <c r="P3247" s="2"/>
    </row>
    <row r="3248" spans="1:16" x14ac:dyDescent="0.25">
      <c r="A3248" s="2"/>
      <c r="B3248" s="2"/>
      <c r="F3248" s="1"/>
      <c r="G3248" s="1"/>
      <c r="I3248" s="1"/>
      <c r="J3248" s="1"/>
      <c r="L3248" s="1"/>
      <c r="M3248" s="1"/>
      <c r="O3248" s="2"/>
      <c r="P3248" s="2"/>
    </row>
    <row r="3249" spans="1:16" x14ac:dyDescent="0.25">
      <c r="A3249" s="2"/>
      <c r="B3249" s="2"/>
      <c r="F3249" s="1"/>
      <c r="G3249" s="1"/>
      <c r="I3249" s="1"/>
      <c r="J3249" s="1"/>
      <c r="L3249" s="1"/>
      <c r="M3249" s="1"/>
      <c r="O3249" s="2"/>
      <c r="P3249" s="2"/>
    </row>
    <row r="3250" spans="1:16" x14ac:dyDescent="0.25">
      <c r="A3250" s="2"/>
      <c r="B3250" s="2"/>
      <c r="F3250" s="1"/>
      <c r="G3250" s="1"/>
      <c r="I3250" s="1"/>
      <c r="J3250" s="1"/>
      <c r="L3250" s="1"/>
      <c r="M3250" s="1"/>
      <c r="O3250" s="2"/>
      <c r="P3250" s="2"/>
    </row>
    <row r="3251" spans="1:16" x14ac:dyDescent="0.25">
      <c r="A3251" s="2"/>
      <c r="B3251" s="2"/>
      <c r="F3251" s="1"/>
      <c r="G3251" s="1"/>
      <c r="I3251" s="1"/>
      <c r="J3251" s="1"/>
      <c r="L3251" s="1"/>
      <c r="M3251" s="1"/>
      <c r="O3251" s="2"/>
      <c r="P3251" s="2"/>
    </row>
    <row r="3252" spans="1:16" x14ac:dyDescent="0.25">
      <c r="A3252" s="2"/>
      <c r="B3252" s="2"/>
      <c r="F3252" s="1"/>
      <c r="G3252" s="1"/>
      <c r="I3252" s="1"/>
      <c r="J3252" s="1"/>
      <c r="L3252" s="1"/>
      <c r="M3252" s="1"/>
      <c r="O3252" s="2"/>
      <c r="P3252" s="2"/>
    </row>
    <row r="3253" spans="1:16" x14ac:dyDescent="0.25">
      <c r="A3253" s="2"/>
      <c r="B3253" s="2"/>
      <c r="F3253" s="1"/>
      <c r="G3253" s="1"/>
      <c r="I3253" s="1"/>
      <c r="J3253" s="1"/>
      <c r="L3253" s="1"/>
      <c r="M3253" s="1"/>
      <c r="O3253" s="2"/>
      <c r="P3253" s="2"/>
    </row>
    <row r="3254" spans="1:16" x14ac:dyDescent="0.25">
      <c r="A3254" s="2"/>
      <c r="B3254" s="2"/>
      <c r="F3254" s="1"/>
      <c r="G3254" s="1"/>
      <c r="I3254" s="1"/>
      <c r="J3254" s="1"/>
      <c r="L3254" s="1"/>
      <c r="M3254" s="1"/>
      <c r="O3254" s="2"/>
      <c r="P3254" s="2"/>
    </row>
    <row r="3255" spans="1:16" x14ac:dyDescent="0.25">
      <c r="A3255" s="2"/>
      <c r="B3255" s="2"/>
      <c r="F3255" s="1"/>
      <c r="G3255" s="1"/>
      <c r="I3255" s="1"/>
      <c r="J3255" s="1"/>
      <c r="L3255" s="1"/>
      <c r="M3255" s="1"/>
      <c r="O3255" s="2"/>
      <c r="P3255" s="2"/>
    </row>
    <row r="3256" spans="1:16" x14ac:dyDescent="0.25">
      <c r="A3256" s="2"/>
      <c r="B3256" s="2"/>
      <c r="F3256" s="1"/>
      <c r="G3256" s="1"/>
      <c r="I3256" s="1"/>
      <c r="J3256" s="1"/>
      <c r="L3256" s="1"/>
      <c r="M3256" s="1"/>
      <c r="O3256" s="2"/>
      <c r="P3256" s="2"/>
    </row>
    <row r="3257" spans="1:16" x14ac:dyDescent="0.25">
      <c r="A3257" s="2"/>
      <c r="B3257" s="2"/>
      <c r="F3257" s="1"/>
      <c r="G3257" s="1"/>
      <c r="I3257" s="1"/>
      <c r="J3257" s="1"/>
      <c r="L3257" s="1"/>
      <c r="M3257" s="1"/>
      <c r="O3257" s="2"/>
      <c r="P3257" s="2"/>
    </row>
    <row r="3258" spans="1:16" x14ac:dyDescent="0.25">
      <c r="A3258" s="2"/>
      <c r="B3258" s="2"/>
      <c r="F3258" s="1"/>
      <c r="G3258" s="1"/>
      <c r="I3258" s="1"/>
      <c r="J3258" s="1"/>
      <c r="L3258" s="1"/>
      <c r="M3258" s="1"/>
      <c r="O3258" s="2"/>
      <c r="P3258" s="2"/>
    </row>
    <row r="3259" spans="1:16" x14ac:dyDescent="0.25">
      <c r="A3259" s="2"/>
      <c r="B3259" s="2"/>
      <c r="F3259" s="1"/>
      <c r="G3259" s="1"/>
      <c r="I3259" s="1"/>
      <c r="J3259" s="1"/>
      <c r="L3259" s="1"/>
      <c r="M3259" s="1"/>
      <c r="O3259" s="2"/>
      <c r="P3259" s="2"/>
    </row>
    <row r="3260" spans="1:16" x14ac:dyDescent="0.25">
      <c r="A3260" s="2"/>
      <c r="B3260" s="2"/>
      <c r="F3260" s="1"/>
      <c r="G3260" s="1"/>
      <c r="I3260" s="1"/>
      <c r="J3260" s="1"/>
      <c r="L3260" s="1"/>
      <c r="M3260" s="1"/>
      <c r="O3260" s="2"/>
      <c r="P3260" s="2"/>
    </row>
    <row r="3261" spans="1:16" x14ac:dyDescent="0.25">
      <c r="A3261" s="2"/>
      <c r="B3261" s="2"/>
      <c r="F3261" s="1"/>
      <c r="G3261" s="1"/>
      <c r="I3261" s="1"/>
      <c r="J3261" s="1"/>
      <c r="L3261" s="1"/>
      <c r="M3261" s="1"/>
      <c r="O3261" s="2"/>
      <c r="P3261" s="2"/>
    </row>
    <row r="3262" spans="1:16" x14ac:dyDescent="0.25">
      <c r="A3262" s="2"/>
      <c r="B3262" s="2"/>
      <c r="F3262" s="1"/>
      <c r="G3262" s="1"/>
      <c r="I3262" s="1"/>
      <c r="J3262" s="1"/>
      <c r="L3262" s="1"/>
      <c r="M3262" s="1"/>
      <c r="O3262" s="2"/>
      <c r="P3262" s="2"/>
    </row>
    <row r="3263" spans="1:16" x14ac:dyDescent="0.25">
      <c r="A3263" s="2"/>
      <c r="B3263" s="2"/>
      <c r="F3263" s="1"/>
      <c r="G3263" s="1"/>
      <c r="I3263" s="1"/>
      <c r="J3263" s="1"/>
      <c r="L3263" s="1"/>
      <c r="M3263" s="1"/>
      <c r="O3263" s="2"/>
      <c r="P3263" s="2"/>
    </row>
    <row r="3264" spans="1:16" x14ac:dyDescent="0.25">
      <c r="A3264" s="2"/>
      <c r="B3264" s="2"/>
      <c r="F3264" s="1"/>
      <c r="G3264" s="1"/>
      <c r="I3264" s="1"/>
      <c r="J3264" s="1"/>
      <c r="L3264" s="1"/>
      <c r="M3264" s="1"/>
      <c r="O3264" s="2"/>
      <c r="P3264" s="2"/>
    </row>
    <row r="3265" spans="1:16" x14ac:dyDescent="0.25">
      <c r="A3265" s="2"/>
      <c r="B3265" s="2"/>
      <c r="F3265" s="1"/>
      <c r="G3265" s="1"/>
      <c r="I3265" s="1"/>
      <c r="J3265" s="1"/>
      <c r="L3265" s="1"/>
      <c r="M3265" s="1"/>
      <c r="O3265" s="2"/>
      <c r="P3265" s="2"/>
    </row>
    <row r="3266" spans="1:16" x14ac:dyDescent="0.25">
      <c r="A3266" s="2"/>
      <c r="B3266" s="2"/>
      <c r="F3266" s="1"/>
      <c r="G3266" s="1"/>
      <c r="I3266" s="1"/>
      <c r="J3266" s="1"/>
      <c r="L3266" s="1"/>
      <c r="M3266" s="1"/>
      <c r="O3266" s="2"/>
      <c r="P3266" s="2"/>
    </row>
    <row r="3267" spans="1:16" x14ac:dyDescent="0.25">
      <c r="A3267" s="2"/>
      <c r="B3267" s="2"/>
      <c r="F3267" s="1"/>
      <c r="G3267" s="1"/>
      <c r="I3267" s="1"/>
      <c r="J3267" s="1"/>
      <c r="L3267" s="1"/>
      <c r="M3267" s="1"/>
      <c r="O3267" s="2"/>
      <c r="P3267" s="2"/>
    </row>
    <row r="3268" spans="1:16" x14ac:dyDescent="0.25">
      <c r="A3268" s="2"/>
      <c r="B3268" s="2"/>
      <c r="F3268" s="1"/>
      <c r="G3268" s="1"/>
      <c r="I3268" s="1"/>
      <c r="J3268" s="1"/>
      <c r="L3268" s="1"/>
      <c r="M3268" s="1"/>
      <c r="O3268" s="2"/>
      <c r="P3268" s="2"/>
    </row>
    <row r="3269" spans="1:16" x14ac:dyDescent="0.25">
      <c r="A3269" s="2"/>
      <c r="B3269" s="2"/>
      <c r="F3269" s="1"/>
      <c r="G3269" s="1"/>
      <c r="I3269" s="1"/>
      <c r="J3269" s="1"/>
      <c r="L3269" s="1"/>
      <c r="M3269" s="1"/>
      <c r="O3269" s="2"/>
      <c r="P3269" s="2"/>
    </row>
    <row r="3270" spans="1:16" x14ac:dyDescent="0.25">
      <c r="A3270" s="2"/>
      <c r="B3270" s="2"/>
      <c r="F3270" s="1"/>
      <c r="G3270" s="1"/>
      <c r="I3270" s="1"/>
      <c r="J3270" s="1"/>
      <c r="L3270" s="1"/>
      <c r="M3270" s="1"/>
      <c r="O3270" s="2"/>
      <c r="P3270" s="2"/>
    </row>
    <row r="3271" spans="1:16" x14ac:dyDescent="0.25">
      <c r="A3271" s="2"/>
      <c r="B3271" s="2"/>
      <c r="F3271" s="1"/>
      <c r="G3271" s="1"/>
      <c r="I3271" s="1"/>
      <c r="J3271" s="1"/>
      <c r="L3271" s="1"/>
      <c r="M3271" s="1"/>
      <c r="O3271" s="2"/>
      <c r="P3271" s="2"/>
    </row>
    <row r="3272" spans="1:16" x14ac:dyDescent="0.25">
      <c r="A3272" s="2"/>
      <c r="B3272" s="2"/>
      <c r="F3272" s="1"/>
      <c r="G3272" s="1"/>
      <c r="I3272" s="1"/>
      <c r="J3272" s="1"/>
      <c r="L3272" s="1"/>
      <c r="M3272" s="1"/>
      <c r="O3272" s="2"/>
      <c r="P3272" s="2"/>
    </row>
    <row r="3273" spans="1:16" x14ac:dyDescent="0.25">
      <c r="A3273" s="2"/>
      <c r="B3273" s="2"/>
      <c r="F3273" s="1"/>
      <c r="G3273" s="1"/>
      <c r="I3273" s="1"/>
      <c r="J3273" s="1"/>
      <c r="L3273" s="1"/>
      <c r="M3273" s="1"/>
      <c r="O3273" s="2"/>
      <c r="P3273" s="2"/>
    </row>
    <row r="3274" spans="1:16" x14ac:dyDescent="0.25">
      <c r="A3274" s="2"/>
      <c r="B3274" s="2"/>
      <c r="F3274" s="1"/>
      <c r="G3274" s="1"/>
      <c r="I3274" s="1"/>
      <c r="J3274" s="1"/>
      <c r="L3274" s="1"/>
      <c r="M3274" s="1"/>
      <c r="O3274" s="2"/>
      <c r="P3274" s="2"/>
    </row>
    <row r="3275" spans="1:16" x14ac:dyDescent="0.25">
      <c r="A3275" s="2"/>
      <c r="B3275" s="2"/>
      <c r="F3275" s="1"/>
      <c r="G3275" s="1"/>
      <c r="I3275" s="1"/>
      <c r="J3275" s="1"/>
      <c r="L3275" s="1"/>
      <c r="M3275" s="1"/>
      <c r="O3275" s="2"/>
      <c r="P3275" s="2"/>
    </row>
    <row r="3276" spans="1:16" x14ac:dyDescent="0.25">
      <c r="A3276" s="2"/>
      <c r="B3276" s="2"/>
      <c r="F3276" s="1"/>
      <c r="G3276" s="1"/>
      <c r="I3276" s="1"/>
      <c r="J3276" s="1"/>
      <c r="L3276" s="1"/>
      <c r="M3276" s="1"/>
      <c r="O3276" s="2"/>
      <c r="P3276" s="2"/>
    </row>
    <row r="3277" spans="1:16" x14ac:dyDescent="0.25">
      <c r="A3277" s="2"/>
      <c r="B3277" s="2"/>
      <c r="F3277" s="1"/>
      <c r="G3277" s="1"/>
      <c r="I3277" s="1"/>
      <c r="J3277" s="1"/>
      <c r="L3277" s="1"/>
      <c r="M3277" s="1"/>
      <c r="O3277" s="2"/>
      <c r="P3277" s="2"/>
    </row>
    <row r="3278" spans="1:16" x14ac:dyDescent="0.25">
      <c r="A3278" s="2"/>
      <c r="B3278" s="2"/>
      <c r="F3278" s="1"/>
      <c r="G3278" s="1"/>
      <c r="I3278" s="1"/>
      <c r="J3278" s="1"/>
      <c r="L3278" s="1"/>
      <c r="M3278" s="1"/>
      <c r="O3278" s="2"/>
      <c r="P3278" s="2"/>
    </row>
    <row r="3279" spans="1:16" x14ac:dyDescent="0.25">
      <c r="A3279" s="2"/>
      <c r="B3279" s="2"/>
      <c r="F3279" s="1"/>
      <c r="G3279" s="1"/>
      <c r="I3279" s="1"/>
      <c r="J3279" s="1"/>
      <c r="L3279" s="1"/>
      <c r="M3279" s="1"/>
      <c r="O3279" s="2"/>
      <c r="P3279" s="2"/>
    </row>
    <row r="3280" spans="1:16" x14ac:dyDescent="0.25">
      <c r="A3280" s="2"/>
      <c r="B3280" s="2"/>
      <c r="F3280" s="1"/>
      <c r="G3280" s="1"/>
      <c r="I3280" s="1"/>
      <c r="J3280" s="1"/>
      <c r="L3280" s="1"/>
      <c r="M3280" s="1"/>
      <c r="O3280" s="2"/>
      <c r="P3280" s="2"/>
    </row>
    <row r="3281" spans="1:16" x14ac:dyDescent="0.25">
      <c r="A3281" s="2"/>
      <c r="B3281" s="2"/>
      <c r="F3281" s="1"/>
      <c r="G3281" s="1"/>
      <c r="I3281" s="1"/>
      <c r="J3281" s="1"/>
      <c r="L3281" s="1"/>
      <c r="M3281" s="1"/>
      <c r="O3281" s="2"/>
      <c r="P3281" s="2"/>
    </row>
    <row r="3282" spans="1:16" x14ac:dyDescent="0.25">
      <c r="A3282" s="2"/>
      <c r="B3282" s="2"/>
      <c r="F3282" s="1"/>
      <c r="G3282" s="1"/>
      <c r="I3282" s="1"/>
      <c r="J3282" s="1"/>
      <c r="L3282" s="1"/>
      <c r="M3282" s="1"/>
      <c r="O3282" s="2"/>
      <c r="P3282" s="2"/>
    </row>
    <row r="3283" spans="1:16" x14ac:dyDescent="0.25">
      <c r="A3283" s="2"/>
      <c r="B3283" s="2"/>
      <c r="F3283" s="1"/>
      <c r="G3283" s="1"/>
      <c r="I3283" s="1"/>
      <c r="J3283" s="1"/>
      <c r="L3283" s="1"/>
      <c r="M3283" s="1"/>
      <c r="O3283" s="2"/>
      <c r="P3283" s="2"/>
    </row>
    <row r="3284" spans="1:16" x14ac:dyDescent="0.25">
      <c r="A3284" s="2"/>
      <c r="B3284" s="2"/>
      <c r="F3284" s="1"/>
      <c r="G3284" s="1"/>
      <c r="I3284" s="1"/>
      <c r="J3284" s="1"/>
      <c r="L3284" s="1"/>
      <c r="M3284" s="1"/>
      <c r="O3284" s="2"/>
      <c r="P3284" s="2"/>
    </row>
    <row r="3285" spans="1:16" x14ac:dyDescent="0.25">
      <c r="A3285" s="2"/>
      <c r="B3285" s="2"/>
      <c r="F3285" s="1"/>
      <c r="G3285" s="1"/>
      <c r="I3285" s="1"/>
      <c r="J3285" s="1"/>
      <c r="L3285" s="1"/>
      <c r="M3285" s="1"/>
      <c r="O3285" s="2"/>
      <c r="P3285" s="2"/>
    </row>
    <row r="3286" spans="1:16" x14ac:dyDescent="0.25">
      <c r="A3286" s="2"/>
      <c r="B3286" s="2"/>
      <c r="F3286" s="1"/>
      <c r="G3286" s="1"/>
      <c r="I3286" s="1"/>
      <c r="J3286" s="1"/>
      <c r="L3286" s="1"/>
      <c r="M3286" s="1"/>
      <c r="O3286" s="2"/>
      <c r="P3286" s="2"/>
    </row>
    <row r="3287" spans="1:16" x14ac:dyDescent="0.25">
      <c r="A3287" s="2"/>
      <c r="B3287" s="2"/>
      <c r="F3287" s="1"/>
      <c r="G3287" s="1"/>
      <c r="I3287" s="1"/>
      <c r="J3287" s="1"/>
      <c r="L3287" s="1"/>
      <c r="M3287" s="1"/>
      <c r="O3287" s="2"/>
      <c r="P3287" s="2"/>
    </row>
    <row r="3288" spans="1:16" x14ac:dyDescent="0.25">
      <c r="A3288" s="2"/>
      <c r="B3288" s="2"/>
      <c r="F3288" s="1"/>
      <c r="G3288" s="1"/>
      <c r="I3288" s="1"/>
      <c r="J3288" s="1"/>
      <c r="L3288" s="1"/>
      <c r="M3288" s="1"/>
      <c r="O3288" s="2"/>
      <c r="P3288" s="2"/>
    </row>
    <row r="3289" spans="1:16" x14ac:dyDescent="0.25">
      <c r="A3289" s="2"/>
      <c r="B3289" s="2"/>
      <c r="F3289" s="1"/>
      <c r="G3289" s="1"/>
      <c r="I3289" s="1"/>
      <c r="J3289" s="1"/>
      <c r="L3289" s="1"/>
      <c r="M3289" s="1"/>
      <c r="O3289" s="2"/>
      <c r="P3289" s="2"/>
    </row>
    <row r="3290" spans="1:16" x14ac:dyDescent="0.25">
      <c r="A3290" s="2"/>
      <c r="B3290" s="2"/>
      <c r="F3290" s="1"/>
      <c r="G3290" s="1"/>
      <c r="I3290" s="1"/>
      <c r="J3290" s="1"/>
      <c r="L3290" s="1"/>
      <c r="M3290" s="1"/>
      <c r="O3290" s="2"/>
      <c r="P3290" s="2"/>
    </row>
    <row r="3291" spans="1:16" x14ac:dyDescent="0.25">
      <c r="A3291" s="2"/>
      <c r="B3291" s="2"/>
      <c r="F3291" s="1"/>
      <c r="G3291" s="1"/>
      <c r="I3291" s="1"/>
      <c r="J3291" s="1"/>
      <c r="L3291" s="1"/>
      <c r="M3291" s="1"/>
      <c r="O3291" s="2"/>
      <c r="P3291" s="2"/>
    </row>
    <row r="3292" spans="1:16" x14ac:dyDescent="0.25">
      <c r="A3292" s="2"/>
      <c r="B3292" s="2"/>
      <c r="F3292" s="1"/>
      <c r="G3292" s="1"/>
      <c r="I3292" s="1"/>
      <c r="J3292" s="1"/>
      <c r="L3292" s="1"/>
      <c r="M3292" s="1"/>
      <c r="O3292" s="2"/>
      <c r="P3292" s="2"/>
    </row>
    <row r="3293" spans="1:16" x14ac:dyDescent="0.25">
      <c r="A3293" s="2"/>
      <c r="B3293" s="2"/>
      <c r="F3293" s="1"/>
      <c r="G3293" s="1"/>
      <c r="I3293" s="1"/>
      <c r="J3293" s="1"/>
      <c r="L3293" s="1"/>
      <c r="M3293" s="1"/>
      <c r="O3293" s="2"/>
      <c r="P3293" s="2"/>
    </row>
    <row r="3294" spans="1:16" x14ac:dyDescent="0.25">
      <c r="A3294" s="2"/>
      <c r="B3294" s="2"/>
      <c r="F3294" s="1"/>
      <c r="G3294" s="1"/>
      <c r="I3294" s="1"/>
      <c r="J3294" s="1"/>
      <c r="L3294" s="1"/>
      <c r="M3294" s="1"/>
      <c r="O3294" s="2"/>
      <c r="P3294" s="2"/>
    </row>
    <row r="3295" spans="1:16" x14ac:dyDescent="0.25">
      <c r="A3295" s="2"/>
      <c r="B3295" s="2"/>
      <c r="F3295" s="1"/>
      <c r="G3295" s="1"/>
      <c r="I3295" s="1"/>
      <c r="J3295" s="1"/>
      <c r="L3295" s="1"/>
      <c r="M3295" s="1"/>
      <c r="O3295" s="2"/>
      <c r="P3295" s="2"/>
    </row>
    <row r="3296" spans="1:16" x14ac:dyDescent="0.25">
      <c r="A3296" s="2"/>
      <c r="B3296" s="2"/>
      <c r="F3296" s="1"/>
      <c r="G3296" s="1"/>
      <c r="I3296" s="1"/>
      <c r="J3296" s="1"/>
      <c r="L3296" s="1"/>
      <c r="M3296" s="1"/>
      <c r="O3296" s="2"/>
      <c r="P3296" s="2"/>
    </row>
    <row r="3297" spans="1:16" x14ac:dyDescent="0.25">
      <c r="A3297" s="2"/>
      <c r="B3297" s="2"/>
      <c r="F3297" s="1"/>
      <c r="G3297" s="1"/>
      <c r="I3297" s="1"/>
      <c r="J3297" s="1"/>
      <c r="L3297" s="1"/>
      <c r="M3297" s="1"/>
      <c r="O3297" s="2"/>
      <c r="P3297" s="2"/>
    </row>
    <row r="3298" spans="1:16" x14ac:dyDescent="0.25">
      <c r="A3298" s="2"/>
      <c r="B3298" s="2"/>
      <c r="F3298" s="1"/>
      <c r="G3298" s="1"/>
      <c r="I3298" s="1"/>
      <c r="J3298" s="1"/>
      <c r="L3298" s="1"/>
      <c r="M3298" s="1"/>
      <c r="O3298" s="2"/>
      <c r="P3298" s="2"/>
    </row>
    <row r="3299" spans="1:16" x14ac:dyDescent="0.25">
      <c r="A3299" s="2"/>
      <c r="B3299" s="2"/>
      <c r="F3299" s="1"/>
      <c r="G3299" s="1"/>
      <c r="I3299" s="1"/>
      <c r="J3299" s="1"/>
      <c r="L3299" s="1"/>
      <c r="M3299" s="1"/>
      <c r="O3299" s="2"/>
      <c r="P3299" s="2"/>
    </row>
    <row r="3300" spans="1:16" x14ac:dyDescent="0.25">
      <c r="A3300" s="2"/>
      <c r="B3300" s="2"/>
      <c r="F3300" s="1"/>
      <c r="G3300" s="1"/>
      <c r="I3300" s="1"/>
      <c r="J3300" s="1"/>
      <c r="L3300" s="1"/>
      <c r="M3300" s="1"/>
      <c r="O3300" s="2"/>
      <c r="P3300" s="2"/>
    </row>
    <row r="3301" spans="1:16" x14ac:dyDescent="0.25">
      <c r="A3301" s="2"/>
      <c r="B3301" s="2"/>
      <c r="F3301" s="1"/>
      <c r="G3301" s="1"/>
      <c r="I3301" s="1"/>
      <c r="J3301" s="1"/>
      <c r="L3301" s="1"/>
      <c r="M3301" s="1"/>
      <c r="O3301" s="2"/>
      <c r="P3301" s="2"/>
    </row>
    <row r="3302" spans="1:16" x14ac:dyDescent="0.25">
      <c r="A3302" s="2"/>
      <c r="B3302" s="2"/>
      <c r="F3302" s="1"/>
      <c r="G3302" s="1"/>
      <c r="I3302" s="1"/>
      <c r="J3302" s="1"/>
      <c r="L3302" s="1"/>
      <c r="M3302" s="1"/>
      <c r="O3302" s="2"/>
      <c r="P3302" s="2"/>
    </row>
    <row r="3303" spans="1:16" x14ac:dyDescent="0.25">
      <c r="A3303" s="2"/>
      <c r="B3303" s="2"/>
      <c r="F3303" s="1"/>
      <c r="G3303" s="1"/>
      <c r="I3303" s="1"/>
      <c r="J3303" s="1"/>
      <c r="L3303" s="1"/>
      <c r="M3303" s="1"/>
      <c r="O3303" s="2"/>
      <c r="P3303" s="2"/>
    </row>
    <row r="3304" spans="1:16" x14ac:dyDescent="0.25">
      <c r="A3304" s="2"/>
      <c r="B3304" s="2"/>
      <c r="F3304" s="1"/>
      <c r="G3304" s="1"/>
      <c r="I3304" s="1"/>
      <c r="J3304" s="1"/>
      <c r="L3304" s="1"/>
      <c r="M3304" s="1"/>
      <c r="O3304" s="2"/>
      <c r="P3304" s="2"/>
    </row>
    <row r="3305" spans="1:16" x14ac:dyDescent="0.25">
      <c r="A3305" s="2"/>
      <c r="B3305" s="2"/>
      <c r="F3305" s="1"/>
      <c r="G3305" s="1"/>
      <c r="I3305" s="1"/>
      <c r="J3305" s="1"/>
      <c r="L3305" s="1"/>
      <c r="M3305" s="1"/>
      <c r="O3305" s="2"/>
      <c r="P3305" s="2"/>
    </row>
    <row r="3306" spans="1:16" x14ac:dyDescent="0.25">
      <c r="A3306" s="2"/>
      <c r="B3306" s="2"/>
      <c r="F3306" s="1"/>
      <c r="G3306" s="1"/>
      <c r="I3306" s="1"/>
      <c r="J3306" s="1"/>
      <c r="L3306" s="1"/>
      <c r="M3306" s="1"/>
      <c r="O3306" s="2"/>
      <c r="P3306" s="2"/>
    </row>
    <row r="3307" spans="1:16" x14ac:dyDescent="0.25">
      <c r="A3307" s="2"/>
      <c r="B3307" s="2"/>
      <c r="F3307" s="1"/>
      <c r="G3307" s="1"/>
      <c r="I3307" s="1"/>
      <c r="J3307" s="1"/>
      <c r="L3307" s="1"/>
      <c r="M3307" s="1"/>
      <c r="O3307" s="2"/>
      <c r="P3307" s="2"/>
    </row>
    <row r="3308" spans="1:16" x14ac:dyDescent="0.25">
      <c r="A3308" s="2"/>
      <c r="B3308" s="2"/>
      <c r="F3308" s="1"/>
      <c r="G3308" s="1"/>
      <c r="I3308" s="1"/>
      <c r="J3308" s="1"/>
      <c r="L3308" s="1"/>
      <c r="M3308" s="1"/>
      <c r="O3308" s="2"/>
      <c r="P3308" s="2"/>
    </row>
    <row r="3309" spans="1:16" x14ac:dyDescent="0.25">
      <c r="A3309" s="2"/>
      <c r="B3309" s="2"/>
      <c r="F3309" s="1"/>
      <c r="G3309" s="1"/>
      <c r="I3309" s="1"/>
      <c r="J3309" s="1"/>
      <c r="L3309" s="1"/>
      <c r="M3309" s="1"/>
      <c r="O3309" s="2"/>
      <c r="P3309" s="2"/>
    </row>
    <row r="3310" spans="1:16" x14ac:dyDescent="0.25">
      <c r="A3310" s="2"/>
      <c r="B3310" s="2"/>
      <c r="F3310" s="1"/>
      <c r="G3310" s="1"/>
      <c r="I3310" s="1"/>
      <c r="J3310" s="1"/>
      <c r="L3310" s="1"/>
      <c r="M3310" s="1"/>
      <c r="O3310" s="2"/>
      <c r="P3310" s="2"/>
    </row>
    <row r="3311" spans="1:16" x14ac:dyDescent="0.25">
      <c r="A3311" s="2"/>
      <c r="B3311" s="2"/>
      <c r="F3311" s="1"/>
      <c r="G3311" s="1"/>
      <c r="I3311" s="1"/>
      <c r="J3311" s="1"/>
      <c r="L3311" s="1"/>
      <c r="M3311" s="1"/>
      <c r="O3311" s="2"/>
      <c r="P3311" s="2"/>
    </row>
    <row r="3312" spans="1:16" x14ac:dyDescent="0.25">
      <c r="A3312" s="2"/>
      <c r="B3312" s="2"/>
      <c r="F3312" s="1"/>
      <c r="G3312" s="1"/>
      <c r="I3312" s="1"/>
      <c r="J3312" s="1"/>
      <c r="L3312" s="1"/>
      <c r="M3312" s="1"/>
      <c r="O3312" s="2"/>
      <c r="P3312" s="2"/>
    </row>
    <row r="3313" spans="1:16" x14ac:dyDescent="0.25">
      <c r="A3313" s="2"/>
      <c r="B3313" s="2"/>
      <c r="F3313" s="1"/>
      <c r="G3313" s="1"/>
      <c r="I3313" s="1"/>
      <c r="J3313" s="1"/>
      <c r="L3313" s="1"/>
      <c r="M3313" s="1"/>
      <c r="O3313" s="2"/>
      <c r="P3313" s="2"/>
    </row>
    <row r="3314" spans="1:16" x14ac:dyDescent="0.25">
      <c r="A3314" s="2"/>
      <c r="B3314" s="2"/>
      <c r="F3314" s="1"/>
      <c r="G3314" s="1"/>
      <c r="I3314" s="1"/>
      <c r="J3314" s="1"/>
      <c r="L3314" s="1"/>
      <c r="M3314" s="1"/>
      <c r="O3314" s="2"/>
      <c r="P3314" s="2"/>
    </row>
    <row r="3315" spans="1:16" x14ac:dyDescent="0.25">
      <c r="A3315" s="2"/>
      <c r="B3315" s="2"/>
      <c r="F3315" s="1"/>
      <c r="G3315" s="1"/>
      <c r="I3315" s="1"/>
      <c r="J3315" s="1"/>
      <c r="L3315" s="1"/>
      <c r="M3315" s="1"/>
      <c r="O3315" s="2"/>
      <c r="P3315" s="2"/>
    </row>
    <row r="3316" spans="1:16" x14ac:dyDescent="0.25">
      <c r="A3316" s="2"/>
      <c r="B3316" s="2"/>
      <c r="F3316" s="1"/>
      <c r="G3316" s="1"/>
      <c r="I3316" s="1"/>
      <c r="J3316" s="1"/>
      <c r="L3316" s="1"/>
      <c r="M3316" s="1"/>
      <c r="O3316" s="2"/>
      <c r="P3316" s="2"/>
    </row>
    <row r="3317" spans="1:16" x14ac:dyDescent="0.25">
      <c r="A3317" s="2"/>
      <c r="B3317" s="2"/>
      <c r="F3317" s="1"/>
      <c r="G3317" s="1"/>
      <c r="I3317" s="1"/>
      <c r="J3317" s="1"/>
      <c r="L3317" s="1"/>
      <c r="M3317" s="1"/>
      <c r="O3317" s="2"/>
      <c r="P3317" s="2"/>
    </row>
    <row r="3318" spans="1:16" x14ac:dyDescent="0.25">
      <c r="A3318" s="2"/>
      <c r="B3318" s="2"/>
      <c r="F3318" s="1"/>
      <c r="G3318" s="1"/>
      <c r="I3318" s="1"/>
      <c r="J3318" s="1"/>
      <c r="L3318" s="1"/>
      <c r="M3318" s="1"/>
      <c r="O3318" s="2"/>
      <c r="P3318" s="2"/>
    </row>
    <row r="3319" spans="1:16" x14ac:dyDescent="0.25">
      <c r="A3319" s="2"/>
      <c r="B3319" s="2"/>
      <c r="F3319" s="1"/>
      <c r="G3319" s="1"/>
      <c r="I3319" s="1"/>
      <c r="J3319" s="1"/>
      <c r="L3319" s="1"/>
      <c r="M3319" s="1"/>
      <c r="O3319" s="2"/>
      <c r="P3319" s="2"/>
    </row>
    <row r="3320" spans="1:16" x14ac:dyDescent="0.25">
      <c r="A3320" s="2"/>
      <c r="B3320" s="2"/>
      <c r="F3320" s="1"/>
      <c r="G3320" s="1"/>
      <c r="I3320" s="1"/>
      <c r="J3320" s="1"/>
      <c r="L3320" s="1"/>
      <c r="M3320" s="1"/>
      <c r="O3320" s="2"/>
      <c r="P3320" s="2"/>
    </row>
    <row r="3321" spans="1:16" x14ac:dyDescent="0.25">
      <c r="A3321" s="2"/>
      <c r="B3321" s="2"/>
      <c r="F3321" s="1"/>
      <c r="G3321" s="1"/>
      <c r="I3321" s="1"/>
      <c r="J3321" s="1"/>
      <c r="L3321" s="1"/>
      <c r="M3321" s="1"/>
      <c r="O3321" s="2"/>
      <c r="P3321" s="2"/>
    </row>
    <row r="3322" spans="1:16" x14ac:dyDescent="0.25">
      <c r="A3322" s="2"/>
      <c r="B3322" s="2"/>
      <c r="F3322" s="1"/>
      <c r="G3322" s="1"/>
      <c r="I3322" s="1"/>
      <c r="J3322" s="1"/>
      <c r="L3322" s="1"/>
      <c r="M3322" s="1"/>
      <c r="O3322" s="2"/>
      <c r="P3322" s="2"/>
    </row>
    <row r="3323" spans="1:16" x14ac:dyDescent="0.25">
      <c r="A3323" s="2"/>
      <c r="B3323" s="2"/>
      <c r="F3323" s="1"/>
      <c r="G3323" s="1"/>
      <c r="I3323" s="1"/>
      <c r="J3323" s="1"/>
      <c r="L3323" s="1"/>
      <c r="M3323" s="1"/>
      <c r="O3323" s="2"/>
      <c r="P3323" s="2"/>
    </row>
    <row r="3324" spans="1:16" x14ac:dyDescent="0.25">
      <c r="A3324" s="2"/>
      <c r="B3324" s="2"/>
      <c r="F3324" s="1"/>
      <c r="G3324" s="1"/>
      <c r="I3324" s="1"/>
      <c r="J3324" s="1"/>
      <c r="L3324" s="1"/>
      <c r="M3324" s="1"/>
      <c r="O3324" s="2"/>
      <c r="P3324" s="2"/>
    </row>
    <row r="3325" spans="1:16" x14ac:dyDescent="0.25">
      <c r="A3325" s="2"/>
      <c r="B3325" s="2"/>
      <c r="F3325" s="1"/>
      <c r="G3325" s="1"/>
      <c r="I3325" s="1"/>
      <c r="J3325" s="1"/>
      <c r="L3325" s="1"/>
      <c r="M3325" s="1"/>
      <c r="O3325" s="2"/>
      <c r="P3325" s="2"/>
    </row>
    <row r="3326" spans="1:16" x14ac:dyDescent="0.25">
      <c r="A3326" s="2"/>
      <c r="B3326" s="2"/>
      <c r="F3326" s="1"/>
      <c r="G3326" s="1"/>
      <c r="I3326" s="1"/>
      <c r="J3326" s="1"/>
      <c r="L3326" s="1"/>
      <c r="M3326" s="1"/>
      <c r="O3326" s="2"/>
      <c r="P3326" s="2"/>
    </row>
    <row r="3327" spans="1:16" x14ac:dyDescent="0.25">
      <c r="A3327" s="2"/>
      <c r="B3327" s="2"/>
      <c r="F3327" s="1"/>
      <c r="G3327" s="1"/>
      <c r="I3327" s="1"/>
      <c r="J3327" s="1"/>
      <c r="L3327" s="1"/>
      <c r="M3327" s="1"/>
      <c r="O3327" s="2"/>
      <c r="P3327" s="2"/>
    </row>
    <row r="3328" spans="1:16" x14ac:dyDescent="0.25">
      <c r="A3328" s="2"/>
      <c r="B3328" s="2"/>
      <c r="F3328" s="1"/>
      <c r="G3328" s="1"/>
      <c r="I3328" s="1"/>
      <c r="J3328" s="1"/>
      <c r="L3328" s="1"/>
      <c r="M3328" s="1"/>
      <c r="O3328" s="2"/>
      <c r="P3328" s="2"/>
    </row>
    <row r="3329" spans="1:16" x14ac:dyDescent="0.25">
      <c r="A3329" s="2"/>
      <c r="B3329" s="2"/>
      <c r="F3329" s="1"/>
      <c r="G3329" s="1"/>
      <c r="I3329" s="1"/>
      <c r="J3329" s="1"/>
      <c r="L3329" s="1"/>
      <c r="M3329" s="1"/>
      <c r="O3329" s="2"/>
      <c r="P3329" s="2"/>
    </row>
    <row r="3330" spans="1:16" x14ac:dyDescent="0.25">
      <c r="A3330" s="2"/>
      <c r="B3330" s="2"/>
      <c r="F3330" s="1"/>
      <c r="G3330" s="1"/>
      <c r="I3330" s="1"/>
      <c r="J3330" s="1"/>
      <c r="L3330" s="1"/>
      <c r="M3330" s="1"/>
      <c r="O3330" s="2"/>
      <c r="P3330" s="2"/>
    </row>
    <row r="3331" spans="1:16" x14ac:dyDescent="0.25">
      <c r="A3331" s="2"/>
      <c r="B3331" s="2"/>
      <c r="F3331" s="1"/>
      <c r="G3331" s="1"/>
      <c r="I3331" s="1"/>
      <c r="J3331" s="1"/>
      <c r="L3331" s="1"/>
      <c r="M3331" s="1"/>
      <c r="O3331" s="2"/>
      <c r="P3331" s="2"/>
    </row>
    <row r="3332" spans="1:16" x14ac:dyDescent="0.25">
      <c r="A3332" s="2"/>
      <c r="B3332" s="2"/>
      <c r="F3332" s="1"/>
      <c r="G3332" s="1"/>
      <c r="I3332" s="1"/>
      <c r="J3332" s="1"/>
      <c r="L3332" s="1"/>
      <c r="M3332" s="1"/>
      <c r="O3332" s="2"/>
      <c r="P3332" s="2"/>
    </row>
    <row r="3333" spans="1:16" x14ac:dyDescent="0.25">
      <c r="A3333" s="2"/>
      <c r="B3333" s="2"/>
      <c r="F3333" s="1"/>
      <c r="G3333" s="1"/>
      <c r="I3333" s="1"/>
      <c r="J3333" s="1"/>
      <c r="L3333" s="1"/>
      <c r="M3333" s="1"/>
      <c r="O3333" s="2"/>
      <c r="P3333" s="2"/>
    </row>
    <row r="3334" spans="1:16" x14ac:dyDescent="0.25">
      <c r="A3334" s="2"/>
      <c r="B3334" s="2"/>
      <c r="F3334" s="1"/>
      <c r="G3334" s="1"/>
      <c r="I3334" s="1"/>
      <c r="J3334" s="1"/>
      <c r="L3334" s="1"/>
      <c r="M3334" s="1"/>
      <c r="O3334" s="2"/>
      <c r="P3334" s="2"/>
    </row>
    <row r="3335" spans="1:16" x14ac:dyDescent="0.25">
      <c r="A3335" s="2"/>
      <c r="B3335" s="2"/>
      <c r="F3335" s="1"/>
      <c r="G3335" s="1"/>
      <c r="I3335" s="1"/>
      <c r="J3335" s="1"/>
      <c r="L3335" s="1"/>
      <c r="M3335" s="1"/>
      <c r="O3335" s="2"/>
      <c r="P3335" s="2"/>
    </row>
    <row r="3336" spans="1:16" x14ac:dyDescent="0.25">
      <c r="A3336" s="2"/>
      <c r="B3336" s="2"/>
      <c r="F3336" s="1"/>
      <c r="G3336" s="1"/>
      <c r="I3336" s="1"/>
      <c r="J3336" s="1"/>
      <c r="L3336" s="1"/>
      <c r="M3336" s="1"/>
      <c r="O3336" s="2"/>
      <c r="P3336" s="2"/>
    </row>
    <row r="3337" spans="1:16" x14ac:dyDescent="0.25">
      <c r="A3337" s="2"/>
      <c r="B3337" s="2"/>
      <c r="F3337" s="1"/>
      <c r="G3337" s="1"/>
      <c r="I3337" s="1"/>
      <c r="J3337" s="1"/>
      <c r="L3337" s="1"/>
      <c r="M3337" s="1"/>
      <c r="O3337" s="2"/>
      <c r="P3337" s="2"/>
    </row>
    <row r="3338" spans="1:16" x14ac:dyDescent="0.25">
      <c r="A3338" s="2"/>
      <c r="B3338" s="2"/>
      <c r="F3338" s="1"/>
      <c r="G3338" s="1"/>
      <c r="I3338" s="1"/>
      <c r="J3338" s="1"/>
      <c r="L3338" s="1"/>
      <c r="M3338" s="1"/>
      <c r="O3338" s="2"/>
      <c r="P3338" s="2"/>
    </row>
    <row r="3339" spans="1:16" x14ac:dyDescent="0.25">
      <c r="A3339" s="2"/>
      <c r="B3339" s="2"/>
      <c r="F3339" s="1"/>
      <c r="G3339" s="1"/>
      <c r="I3339" s="1"/>
      <c r="J3339" s="1"/>
      <c r="L3339" s="1"/>
      <c r="M3339" s="1"/>
      <c r="O3339" s="2"/>
      <c r="P3339" s="2"/>
    </row>
    <row r="3340" spans="1:16" x14ac:dyDescent="0.25">
      <c r="A3340" s="2"/>
      <c r="B3340" s="2"/>
      <c r="F3340" s="1"/>
      <c r="G3340" s="1"/>
      <c r="I3340" s="1"/>
      <c r="J3340" s="1"/>
      <c r="L3340" s="1"/>
      <c r="M3340" s="1"/>
      <c r="O3340" s="2"/>
      <c r="P3340" s="2"/>
    </row>
    <row r="3341" spans="1:16" x14ac:dyDescent="0.25">
      <c r="A3341" s="2"/>
      <c r="B3341" s="2"/>
      <c r="F3341" s="1"/>
      <c r="G3341" s="1"/>
      <c r="I3341" s="1"/>
      <c r="J3341" s="1"/>
      <c r="L3341" s="1"/>
      <c r="M3341" s="1"/>
      <c r="O3341" s="2"/>
      <c r="P3341" s="2"/>
    </row>
    <row r="3342" spans="1:16" x14ac:dyDescent="0.25">
      <c r="A3342" s="2"/>
      <c r="B3342" s="2"/>
      <c r="F3342" s="1"/>
      <c r="G3342" s="1"/>
      <c r="I3342" s="1"/>
      <c r="J3342" s="1"/>
      <c r="L3342" s="1"/>
      <c r="M3342" s="1"/>
      <c r="O3342" s="2"/>
      <c r="P3342" s="2"/>
    </row>
    <row r="3343" spans="1:16" x14ac:dyDescent="0.25">
      <c r="A3343" s="2"/>
      <c r="B3343" s="2"/>
      <c r="F3343" s="1"/>
      <c r="G3343" s="1"/>
      <c r="I3343" s="1"/>
      <c r="J3343" s="1"/>
      <c r="L3343" s="1"/>
      <c r="M3343" s="1"/>
      <c r="O3343" s="2"/>
      <c r="P3343" s="2"/>
    </row>
    <row r="3344" spans="1:16" x14ac:dyDescent="0.25">
      <c r="A3344" s="2"/>
      <c r="B3344" s="2"/>
      <c r="F3344" s="1"/>
      <c r="G3344" s="1"/>
      <c r="I3344" s="1"/>
      <c r="J3344" s="1"/>
      <c r="L3344" s="1"/>
      <c r="M3344" s="1"/>
      <c r="O3344" s="2"/>
      <c r="P3344" s="2"/>
    </row>
    <row r="3345" spans="1:16" x14ac:dyDescent="0.25">
      <c r="A3345" s="2"/>
      <c r="B3345" s="2"/>
      <c r="F3345" s="1"/>
      <c r="G3345" s="1"/>
      <c r="I3345" s="1"/>
      <c r="J3345" s="1"/>
      <c r="L3345" s="1"/>
      <c r="M3345" s="1"/>
      <c r="O3345" s="2"/>
      <c r="P3345" s="2"/>
    </row>
    <row r="3346" spans="1:16" x14ac:dyDescent="0.25">
      <c r="A3346" s="2"/>
      <c r="B3346" s="2"/>
      <c r="F3346" s="1"/>
      <c r="G3346" s="1"/>
      <c r="I3346" s="1"/>
      <c r="J3346" s="1"/>
      <c r="L3346" s="1"/>
      <c r="M3346" s="1"/>
      <c r="O3346" s="2"/>
      <c r="P3346" s="2"/>
    </row>
    <row r="3347" spans="1:16" x14ac:dyDescent="0.25">
      <c r="A3347" s="2"/>
      <c r="B3347" s="2"/>
      <c r="F3347" s="1"/>
      <c r="G3347" s="1"/>
      <c r="I3347" s="1"/>
      <c r="J3347" s="1"/>
      <c r="L3347" s="1"/>
      <c r="M3347" s="1"/>
      <c r="O3347" s="2"/>
      <c r="P3347" s="2"/>
    </row>
    <row r="3348" spans="1:16" x14ac:dyDescent="0.25">
      <c r="A3348" s="2"/>
      <c r="B3348" s="2"/>
      <c r="F3348" s="1"/>
      <c r="G3348" s="1"/>
      <c r="I3348" s="1"/>
      <c r="J3348" s="1"/>
      <c r="L3348" s="1"/>
      <c r="M3348" s="1"/>
      <c r="O3348" s="2"/>
      <c r="P3348" s="2"/>
    </row>
    <row r="3349" spans="1:16" x14ac:dyDescent="0.25">
      <c r="A3349" s="2"/>
      <c r="B3349" s="2"/>
      <c r="F3349" s="1"/>
      <c r="G3349" s="1"/>
      <c r="I3349" s="1"/>
      <c r="J3349" s="1"/>
      <c r="L3349" s="1"/>
      <c r="M3349" s="1"/>
      <c r="O3349" s="2"/>
      <c r="P3349" s="2"/>
    </row>
    <row r="3350" spans="1:16" x14ac:dyDescent="0.25">
      <c r="A3350" s="2"/>
      <c r="B3350" s="2"/>
      <c r="F3350" s="1"/>
      <c r="G3350" s="1"/>
      <c r="I3350" s="1"/>
      <c r="J3350" s="1"/>
      <c r="L3350" s="1"/>
      <c r="M3350" s="1"/>
      <c r="O3350" s="2"/>
      <c r="P3350" s="2"/>
    </row>
    <row r="3351" spans="1:16" x14ac:dyDescent="0.25">
      <c r="A3351" s="2"/>
      <c r="B3351" s="2"/>
      <c r="F3351" s="1"/>
      <c r="G3351" s="1"/>
      <c r="I3351" s="1"/>
      <c r="J3351" s="1"/>
      <c r="L3351" s="1"/>
      <c r="M3351" s="1"/>
      <c r="O3351" s="2"/>
      <c r="P3351" s="2"/>
    </row>
    <row r="3352" spans="1:16" x14ac:dyDescent="0.25">
      <c r="A3352" s="2"/>
      <c r="B3352" s="2"/>
      <c r="F3352" s="1"/>
      <c r="G3352" s="1"/>
      <c r="I3352" s="1"/>
      <c r="J3352" s="1"/>
      <c r="L3352" s="1"/>
      <c r="M3352" s="1"/>
      <c r="O3352" s="2"/>
      <c r="P3352" s="2"/>
    </row>
    <row r="3353" spans="1:16" x14ac:dyDescent="0.25">
      <c r="A3353" s="2"/>
      <c r="B3353" s="2"/>
      <c r="F3353" s="1"/>
      <c r="G3353" s="1"/>
      <c r="I3353" s="1"/>
      <c r="J3353" s="1"/>
      <c r="L3353" s="1"/>
      <c r="M3353" s="1"/>
      <c r="O3353" s="2"/>
      <c r="P3353" s="2"/>
    </row>
    <row r="3354" spans="1:16" x14ac:dyDescent="0.25">
      <c r="A3354" s="2"/>
      <c r="B3354" s="2"/>
      <c r="F3354" s="1"/>
      <c r="G3354" s="1"/>
      <c r="I3354" s="1"/>
      <c r="J3354" s="1"/>
      <c r="L3354" s="1"/>
      <c r="M3354" s="1"/>
      <c r="O3354" s="2"/>
      <c r="P3354" s="2"/>
    </row>
    <row r="3355" spans="1:16" x14ac:dyDescent="0.25">
      <c r="A3355" s="2"/>
      <c r="B3355" s="2"/>
      <c r="F3355" s="1"/>
      <c r="G3355" s="1"/>
      <c r="I3355" s="1"/>
      <c r="J3355" s="1"/>
      <c r="L3355" s="1"/>
      <c r="M3355" s="1"/>
      <c r="O3355" s="2"/>
      <c r="P3355" s="2"/>
    </row>
    <row r="3356" spans="1:16" x14ac:dyDescent="0.25">
      <c r="A3356" s="2"/>
      <c r="B3356" s="2"/>
      <c r="F3356" s="1"/>
      <c r="G3356" s="1"/>
      <c r="I3356" s="1"/>
      <c r="J3356" s="1"/>
      <c r="L3356" s="1"/>
      <c r="M3356" s="1"/>
      <c r="O3356" s="2"/>
      <c r="P3356" s="2"/>
    </row>
    <row r="3357" spans="1:16" x14ac:dyDescent="0.25">
      <c r="A3357" s="2"/>
      <c r="B3357" s="2"/>
      <c r="F3357" s="1"/>
      <c r="G3357" s="1"/>
      <c r="I3357" s="1"/>
      <c r="J3357" s="1"/>
      <c r="L3357" s="1"/>
      <c r="M3357" s="1"/>
      <c r="O3357" s="2"/>
      <c r="P3357" s="2"/>
    </row>
    <row r="3358" spans="1:16" x14ac:dyDescent="0.25">
      <c r="A3358" s="2"/>
      <c r="B3358" s="2"/>
      <c r="F3358" s="1"/>
      <c r="G3358" s="1"/>
      <c r="I3358" s="1"/>
      <c r="J3358" s="1"/>
      <c r="L3358" s="1"/>
      <c r="M3358" s="1"/>
      <c r="O3358" s="2"/>
      <c r="P3358" s="2"/>
    </row>
    <row r="3359" spans="1:16" x14ac:dyDescent="0.25">
      <c r="A3359" s="2"/>
      <c r="B3359" s="2"/>
      <c r="F3359" s="1"/>
      <c r="G3359" s="1"/>
      <c r="I3359" s="1"/>
      <c r="J3359" s="1"/>
      <c r="L3359" s="1"/>
      <c r="M3359" s="1"/>
      <c r="O3359" s="2"/>
      <c r="P3359" s="2"/>
    </row>
    <row r="3360" spans="1:16" x14ac:dyDescent="0.25">
      <c r="A3360" s="2"/>
      <c r="B3360" s="2"/>
      <c r="F3360" s="1"/>
      <c r="G3360" s="1"/>
      <c r="I3360" s="1"/>
      <c r="J3360" s="1"/>
      <c r="L3360" s="1"/>
      <c r="M3360" s="1"/>
      <c r="O3360" s="2"/>
      <c r="P3360" s="2"/>
    </row>
    <row r="3361" spans="1:16" x14ac:dyDescent="0.25">
      <c r="A3361" s="2"/>
      <c r="B3361" s="2"/>
      <c r="F3361" s="1"/>
      <c r="G3361" s="1"/>
      <c r="I3361" s="1"/>
      <c r="J3361" s="1"/>
      <c r="L3361" s="1"/>
      <c r="M3361" s="1"/>
      <c r="O3361" s="2"/>
      <c r="P3361" s="2"/>
    </row>
    <row r="3362" spans="1:16" x14ac:dyDescent="0.25">
      <c r="A3362" s="2"/>
      <c r="B3362" s="2"/>
      <c r="F3362" s="1"/>
      <c r="G3362" s="1"/>
      <c r="I3362" s="1"/>
      <c r="J3362" s="1"/>
      <c r="L3362" s="1"/>
      <c r="M3362" s="1"/>
      <c r="O3362" s="2"/>
      <c r="P3362" s="2"/>
    </row>
    <row r="3363" spans="1:16" x14ac:dyDescent="0.25">
      <c r="A3363" s="2"/>
      <c r="B3363" s="2"/>
      <c r="F3363" s="1"/>
      <c r="G3363" s="1"/>
      <c r="I3363" s="1"/>
      <c r="J3363" s="1"/>
      <c r="L3363" s="1"/>
      <c r="M3363" s="1"/>
      <c r="O3363" s="2"/>
      <c r="P3363" s="2"/>
    </row>
    <row r="3364" spans="1:16" x14ac:dyDescent="0.25">
      <c r="A3364" s="2"/>
      <c r="B3364" s="2"/>
      <c r="F3364" s="1"/>
      <c r="G3364" s="1"/>
      <c r="I3364" s="1"/>
      <c r="J3364" s="1"/>
      <c r="L3364" s="1"/>
      <c r="M3364" s="1"/>
      <c r="O3364" s="2"/>
      <c r="P3364" s="2"/>
    </row>
    <row r="3365" spans="1:16" x14ac:dyDescent="0.25">
      <c r="A3365" s="2"/>
      <c r="B3365" s="2"/>
      <c r="F3365" s="1"/>
      <c r="G3365" s="1"/>
      <c r="I3365" s="1"/>
      <c r="J3365" s="1"/>
      <c r="L3365" s="1"/>
      <c r="M3365" s="1"/>
      <c r="O3365" s="2"/>
      <c r="P3365" s="2"/>
    </row>
    <row r="3366" spans="1:16" x14ac:dyDescent="0.25">
      <c r="A3366" s="2"/>
      <c r="B3366" s="2"/>
      <c r="F3366" s="1"/>
      <c r="G3366" s="1"/>
      <c r="I3366" s="1"/>
      <c r="J3366" s="1"/>
      <c r="L3366" s="1"/>
      <c r="M3366" s="1"/>
      <c r="O3366" s="2"/>
      <c r="P3366" s="2"/>
    </row>
    <row r="3367" spans="1:16" x14ac:dyDescent="0.25">
      <c r="A3367" s="2"/>
      <c r="B3367" s="2"/>
      <c r="F3367" s="1"/>
      <c r="G3367" s="1"/>
      <c r="I3367" s="1"/>
      <c r="J3367" s="1"/>
      <c r="L3367" s="1"/>
      <c r="M3367" s="1"/>
      <c r="O3367" s="2"/>
      <c r="P3367" s="2"/>
    </row>
    <row r="3368" spans="1:16" x14ac:dyDescent="0.25">
      <c r="A3368" s="2"/>
      <c r="B3368" s="2"/>
      <c r="F3368" s="1"/>
      <c r="G3368" s="1"/>
      <c r="I3368" s="1"/>
      <c r="J3368" s="1"/>
      <c r="L3368" s="1"/>
      <c r="M3368" s="1"/>
      <c r="O3368" s="2"/>
      <c r="P3368" s="2"/>
    </row>
    <row r="3369" spans="1:16" x14ac:dyDescent="0.25">
      <c r="A3369" s="2"/>
      <c r="B3369" s="2"/>
      <c r="F3369" s="1"/>
      <c r="G3369" s="1"/>
      <c r="I3369" s="1"/>
      <c r="J3369" s="1"/>
      <c r="L3369" s="1"/>
      <c r="M3369" s="1"/>
      <c r="O3369" s="2"/>
      <c r="P3369" s="2"/>
    </row>
    <row r="3370" spans="1:16" x14ac:dyDescent="0.25">
      <c r="A3370" s="2"/>
      <c r="B3370" s="2"/>
      <c r="F3370" s="1"/>
      <c r="G3370" s="1"/>
      <c r="I3370" s="1"/>
      <c r="J3370" s="1"/>
      <c r="L3370" s="1"/>
      <c r="M3370" s="1"/>
      <c r="O3370" s="2"/>
      <c r="P3370" s="2"/>
    </row>
    <row r="3371" spans="1:16" x14ac:dyDescent="0.25">
      <c r="A3371" s="2"/>
      <c r="B3371" s="2"/>
      <c r="F3371" s="1"/>
      <c r="G3371" s="1"/>
      <c r="I3371" s="1"/>
      <c r="J3371" s="1"/>
      <c r="L3371" s="1"/>
      <c r="M3371" s="1"/>
      <c r="O3371" s="2"/>
      <c r="P3371" s="2"/>
    </row>
    <row r="3372" spans="1:16" x14ac:dyDescent="0.25">
      <c r="A3372" s="2"/>
      <c r="B3372" s="2"/>
      <c r="F3372" s="1"/>
      <c r="G3372" s="1"/>
      <c r="I3372" s="1"/>
      <c r="J3372" s="1"/>
      <c r="L3372" s="1"/>
      <c r="M3372" s="1"/>
      <c r="O3372" s="2"/>
      <c r="P3372" s="2"/>
    </row>
    <row r="3373" spans="1:16" x14ac:dyDescent="0.25">
      <c r="A3373" s="2"/>
      <c r="B3373" s="2"/>
      <c r="F3373" s="1"/>
      <c r="G3373" s="1"/>
      <c r="I3373" s="1"/>
      <c r="J3373" s="1"/>
      <c r="L3373" s="1"/>
      <c r="M3373" s="1"/>
      <c r="O3373" s="2"/>
      <c r="P3373" s="2"/>
    </row>
    <row r="3374" spans="1:16" x14ac:dyDescent="0.25">
      <c r="A3374" s="2"/>
      <c r="B3374" s="2"/>
      <c r="F3374" s="1"/>
      <c r="G3374" s="1"/>
      <c r="I3374" s="1"/>
      <c r="J3374" s="1"/>
      <c r="L3374" s="1"/>
      <c r="M3374" s="1"/>
      <c r="O3374" s="2"/>
      <c r="P3374" s="2"/>
    </row>
    <row r="3375" spans="1:16" x14ac:dyDescent="0.25">
      <c r="A3375" s="2"/>
      <c r="B3375" s="2"/>
      <c r="F3375" s="1"/>
      <c r="G3375" s="1"/>
      <c r="I3375" s="1"/>
      <c r="J3375" s="1"/>
      <c r="L3375" s="1"/>
      <c r="M3375" s="1"/>
      <c r="O3375" s="2"/>
      <c r="P3375" s="2"/>
    </row>
    <row r="3376" spans="1:16" x14ac:dyDescent="0.25">
      <c r="A3376" s="2"/>
      <c r="B3376" s="2"/>
      <c r="F3376" s="1"/>
      <c r="G3376" s="1"/>
      <c r="I3376" s="1"/>
      <c r="J3376" s="1"/>
      <c r="L3376" s="1"/>
      <c r="M3376" s="1"/>
      <c r="O3376" s="2"/>
      <c r="P3376" s="2"/>
    </row>
    <row r="3377" spans="1:16" x14ac:dyDescent="0.25">
      <c r="A3377" s="2"/>
      <c r="B3377" s="2"/>
      <c r="F3377" s="1"/>
      <c r="G3377" s="1"/>
      <c r="I3377" s="1"/>
      <c r="J3377" s="1"/>
      <c r="L3377" s="1"/>
      <c r="M3377" s="1"/>
      <c r="O3377" s="2"/>
      <c r="P3377" s="2"/>
    </row>
    <row r="3378" spans="1:16" x14ac:dyDescent="0.25">
      <c r="A3378" s="2"/>
      <c r="B3378" s="2"/>
      <c r="F3378" s="1"/>
      <c r="G3378" s="1"/>
      <c r="I3378" s="1"/>
      <c r="J3378" s="1"/>
      <c r="L3378" s="1"/>
      <c r="M3378" s="1"/>
      <c r="O3378" s="2"/>
      <c r="P3378" s="2"/>
    </row>
    <row r="3379" spans="1:16" x14ac:dyDescent="0.25">
      <c r="A3379" s="2"/>
      <c r="B3379" s="2"/>
      <c r="F3379" s="1"/>
      <c r="G3379" s="1"/>
      <c r="I3379" s="1"/>
      <c r="J3379" s="1"/>
      <c r="L3379" s="1"/>
      <c r="M3379" s="1"/>
      <c r="O3379" s="2"/>
      <c r="P3379" s="2"/>
    </row>
    <row r="3380" spans="1:16" x14ac:dyDescent="0.25">
      <c r="A3380" s="2"/>
      <c r="B3380" s="2"/>
      <c r="F3380" s="1"/>
      <c r="G3380" s="1"/>
      <c r="I3380" s="1"/>
      <c r="J3380" s="1"/>
      <c r="L3380" s="1"/>
      <c r="M3380" s="1"/>
      <c r="O3380" s="2"/>
      <c r="P3380" s="2"/>
    </row>
    <row r="3381" spans="1:16" x14ac:dyDescent="0.25">
      <c r="A3381" s="2"/>
      <c r="B3381" s="2"/>
      <c r="F3381" s="1"/>
      <c r="G3381" s="1"/>
      <c r="I3381" s="1"/>
      <c r="J3381" s="1"/>
      <c r="L3381" s="1"/>
      <c r="M3381" s="1"/>
      <c r="O3381" s="2"/>
      <c r="P3381" s="2"/>
    </row>
    <row r="3382" spans="1:16" x14ac:dyDescent="0.25">
      <c r="A3382" s="2"/>
      <c r="B3382" s="2"/>
      <c r="F3382" s="1"/>
      <c r="G3382" s="1"/>
      <c r="I3382" s="1"/>
      <c r="J3382" s="1"/>
      <c r="L3382" s="1"/>
      <c r="M3382" s="1"/>
      <c r="O3382" s="2"/>
      <c r="P3382" s="2"/>
    </row>
    <row r="3383" spans="1:16" x14ac:dyDescent="0.25">
      <c r="A3383" s="2"/>
      <c r="B3383" s="2"/>
      <c r="F3383" s="1"/>
      <c r="G3383" s="1"/>
      <c r="I3383" s="1"/>
      <c r="J3383" s="1"/>
      <c r="L3383" s="1"/>
      <c r="M3383" s="1"/>
      <c r="O3383" s="2"/>
      <c r="P3383" s="2"/>
    </row>
    <row r="3384" spans="1:16" x14ac:dyDescent="0.25">
      <c r="A3384" s="2"/>
      <c r="B3384" s="2"/>
      <c r="F3384" s="1"/>
      <c r="G3384" s="1"/>
      <c r="I3384" s="1"/>
      <c r="J3384" s="1"/>
      <c r="L3384" s="1"/>
      <c r="M3384" s="1"/>
      <c r="O3384" s="2"/>
      <c r="P3384" s="2"/>
    </row>
    <row r="3385" spans="1:16" x14ac:dyDescent="0.25">
      <c r="A3385" s="2"/>
      <c r="B3385" s="2"/>
      <c r="F3385" s="1"/>
      <c r="G3385" s="1"/>
      <c r="I3385" s="1"/>
      <c r="J3385" s="1"/>
      <c r="L3385" s="1"/>
      <c r="M3385" s="1"/>
      <c r="O3385" s="2"/>
      <c r="P3385" s="2"/>
    </row>
    <row r="3386" spans="1:16" x14ac:dyDescent="0.25">
      <c r="A3386" s="2"/>
      <c r="B3386" s="2"/>
      <c r="F3386" s="1"/>
      <c r="G3386" s="1"/>
      <c r="I3386" s="1"/>
      <c r="J3386" s="1"/>
      <c r="L3386" s="1"/>
      <c r="M3386" s="1"/>
      <c r="O3386" s="2"/>
      <c r="P3386" s="2"/>
    </row>
    <row r="3387" spans="1:16" x14ac:dyDescent="0.25">
      <c r="A3387" s="2"/>
      <c r="B3387" s="2"/>
      <c r="F3387" s="1"/>
      <c r="G3387" s="1"/>
      <c r="I3387" s="1"/>
      <c r="J3387" s="1"/>
      <c r="L3387" s="1"/>
      <c r="M3387" s="1"/>
      <c r="O3387" s="2"/>
      <c r="P3387" s="2"/>
    </row>
    <row r="3388" spans="1:16" x14ac:dyDescent="0.25">
      <c r="A3388" s="2"/>
      <c r="B3388" s="2"/>
      <c r="F3388" s="1"/>
      <c r="G3388" s="1"/>
      <c r="I3388" s="1"/>
      <c r="J3388" s="1"/>
      <c r="L3388" s="1"/>
      <c r="M3388" s="1"/>
      <c r="O3388" s="2"/>
      <c r="P3388" s="2"/>
    </row>
    <row r="3389" spans="1:16" x14ac:dyDescent="0.25">
      <c r="A3389" s="2"/>
      <c r="B3389" s="2"/>
      <c r="F3389" s="1"/>
      <c r="G3389" s="1"/>
      <c r="I3389" s="1"/>
      <c r="J3389" s="1"/>
      <c r="L3389" s="1"/>
      <c r="M3389" s="1"/>
      <c r="O3389" s="2"/>
      <c r="P3389" s="2"/>
    </row>
    <row r="3390" spans="1:16" x14ac:dyDescent="0.25">
      <c r="A3390" s="2"/>
      <c r="B3390" s="2"/>
      <c r="F3390" s="1"/>
      <c r="G3390" s="1"/>
      <c r="I3390" s="1"/>
      <c r="J3390" s="1"/>
      <c r="L3390" s="1"/>
      <c r="M3390" s="1"/>
      <c r="O3390" s="2"/>
      <c r="P3390" s="2"/>
    </row>
    <row r="3391" spans="1:16" x14ac:dyDescent="0.25">
      <c r="A3391" s="2"/>
      <c r="B3391" s="2"/>
      <c r="F3391" s="1"/>
      <c r="G3391" s="1"/>
      <c r="I3391" s="1"/>
      <c r="J3391" s="1"/>
      <c r="L3391" s="1"/>
      <c r="M3391" s="1"/>
      <c r="O3391" s="2"/>
      <c r="P3391" s="2"/>
    </row>
    <row r="3392" spans="1:16" x14ac:dyDescent="0.25">
      <c r="A3392" s="2"/>
      <c r="B3392" s="2"/>
      <c r="F3392" s="1"/>
      <c r="G3392" s="1"/>
      <c r="I3392" s="1"/>
      <c r="J3392" s="1"/>
      <c r="L3392" s="1"/>
      <c r="M3392" s="1"/>
      <c r="O3392" s="2"/>
      <c r="P3392" s="2"/>
    </row>
    <row r="3393" spans="1:16" x14ac:dyDescent="0.25">
      <c r="A3393" s="2"/>
      <c r="B3393" s="2"/>
      <c r="F3393" s="1"/>
      <c r="G3393" s="1"/>
      <c r="I3393" s="1"/>
      <c r="J3393" s="1"/>
      <c r="L3393" s="1"/>
      <c r="M3393" s="1"/>
      <c r="O3393" s="2"/>
      <c r="P3393" s="2"/>
    </row>
    <row r="3394" spans="1:16" x14ac:dyDescent="0.25">
      <c r="A3394" s="2"/>
      <c r="B3394" s="2"/>
      <c r="F3394" s="1"/>
      <c r="G3394" s="1"/>
      <c r="I3394" s="1"/>
      <c r="J3394" s="1"/>
      <c r="L3394" s="1"/>
      <c r="M3394" s="1"/>
      <c r="O3394" s="2"/>
      <c r="P3394" s="2"/>
    </row>
    <row r="3395" spans="1:16" x14ac:dyDescent="0.25">
      <c r="A3395" s="2"/>
      <c r="B3395" s="2"/>
      <c r="F3395" s="1"/>
      <c r="G3395" s="1"/>
      <c r="I3395" s="1"/>
      <c r="J3395" s="1"/>
      <c r="L3395" s="1"/>
      <c r="M3395" s="1"/>
      <c r="O3395" s="2"/>
      <c r="P3395" s="2"/>
    </row>
    <row r="3396" spans="1:16" x14ac:dyDescent="0.25">
      <c r="A3396" s="2"/>
      <c r="B3396" s="2"/>
      <c r="F3396" s="1"/>
      <c r="G3396" s="1"/>
      <c r="I3396" s="1"/>
      <c r="J3396" s="1"/>
      <c r="L3396" s="1"/>
      <c r="M3396" s="1"/>
      <c r="O3396" s="2"/>
      <c r="P3396" s="2"/>
    </row>
    <row r="3397" spans="1:16" x14ac:dyDescent="0.25">
      <c r="A3397" s="2"/>
      <c r="B3397" s="2"/>
      <c r="F3397" s="1"/>
      <c r="G3397" s="1"/>
      <c r="I3397" s="1"/>
      <c r="J3397" s="1"/>
      <c r="L3397" s="1"/>
      <c r="M3397" s="1"/>
      <c r="O3397" s="2"/>
      <c r="P3397" s="2"/>
    </row>
    <row r="3398" spans="1:16" x14ac:dyDescent="0.25">
      <c r="A3398" s="2"/>
      <c r="B3398" s="2"/>
      <c r="F3398" s="1"/>
      <c r="G3398" s="1"/>
      <c r="I3398" s="1"/>
      <c r="J3398" s="1"/>
      <c r="L3398" s="1"/>
      <c r="M3398" s="1"/>
      <c r="O3398" s="2"/>
      <c r="P3398" s="2"/>
    </row>
    <row r="3399" spans="1:16" x14ac:dyDescent="0.25">
      <c r="A3399" s="2"/>
      <c r="B3399" s="2"/>
      <c r="F3399" s="1"/>
      <c r="G3399" s="1"/>
      <c r="I3399" s="1"/>
      <c r="J3399" s="1"/>
      <c r="L3399" s="1"/>
      <c r="M3399" s="1"/>
      <c r="O3399" s="2"/>
      <c r="P3399" s="2"/>
    </row>
    <row r="3400" spans="1:16" x14ac:dyDescent="0.25">
      <c r="A3400" s="2"/>
      <c r="B3400" s="2"/>
      <c r="F3400" s="1"/>
      <c r="G3400" s="1"/>
      <c r="I3400" s="1"/>
      <c r="J3400" s="1"/>
      <c r="L3400" s="1"/>
      <c r="M3400" s="1"/>
      <c r="O3400" s="2"/>
      <c r="P3400" s="2"/>
    </row>
    <row r="3401" spans="1:16" x14ac:dyDescent="0.25">
      <c r="A3401" s="2"/>
      <c r="B3401" s="2"/>
      <c r="F3401" s="1"/>
      <c r="G3401" s="1"/>
      <c r="I3401" s="1"/>
      <c r="J3401" s="1"/>
      <c r="L3401" s="1"/>
      <c r="M3401" s="1"/>
      <c r="O3401" s="2"/>
      <c r="P3401" s="2"/>
    </row>
    <row r="3402" spans="1:16" x14ac:dyDescent="0.25">
      <c r="A3402" s="2"/>
      <c r="B3402" s="2"/>
      <c r="F3402" s="1"/>
      <c r="G3402" s="1"/>
      <c r="I3402" s="1"/>
      <c r="J3402" s="1"/>
      <c r="L3402" s="1"/>
      <c r="M3402" s="1"/>
      <c r="O3402" s="2"/>
      <c r="P3402" s="2"/>
    </row>
    <row r="3403" spans="1:16" x14ac:dyDescent="0.25">
      <c r="A3403" s="2"/>
      <c r="B3403" s="2"/>
      <c r="F3403" s="1"/>
      <c r="G3403" s="1"/>
      <c r="I3403" s="1"/>
      <c r="J3403" s="1"/>
      <c r="L3403" s="1"/>
      <c r="M3403" s="1"/>
      <c r="O3403" s="2"/>
      <c r="P3403" s="2"/>
    </row>
    <row r="3404" spans="1:16" x14ac:dyDescent="0.25">
      <c r="A3404" s="2"/>
      <c r="B3404" s="2"/>
      <c r="F3404" s="1"/>
      <c r="G3404" s="1"/>
      <c r="I3404" s="1"/>
      <c r="J3404" s="1"/>
      <c r="L3404" s="1"/>
      <c r="M3404" s="1"/>
      <c r="O3404" s="2"/>
      <c r="P3404" s="2"/>
    </row>
    <row r="3405" spans="1:16" x14ac:dyDescent="0.25">
      <c r="A3405" s="2"/>
      <c r="B3405" s="2"/>
      <c r="F3405" s="1"/>
      <c r="G3405" s="1"/>
      <c r="I3405" s="1"/>
      <c r="J3405" s="1"/>
      <c r="L3405" s="1"/>
      <c r="M3405" s="1"/>
      <c r="O3405" s="2"/>
      <c r="P3405" s="2"/>
    </row>
    <row r="3406" spans="1:16" x14ac:dyDescent="0.25">
      <c r="A3406" s="2"/>
      <c r="B3406" s="2"/>
      <c r="F3406" s="1"/>
      <c r="G3406" s="1"/>
      <c r="I3406" s="1"/>
      <c r="J3406" s="1"/>
      <c r="L3406" s="1"/>
      <c r="M3406" s="1"/>
      <c r="O3406" s="2"/>
      <c r="P3406" s="2"/>
    </row>
    <row r="3407" spans="1:16" x14ac:dyDescent="0.25">
      <c r="A3407" s="2"/>
      <c r="B3407" s="2"/>
      <c r="F3407" s="1"/>
      <c r="G3407" s="1"/>
      <c r="I3407" s="1"/>
      <c r="J3407" s="1"/>
      <c r="L3407" s="1"/>
      <c r="M3407" s="1"/>
      <c r="O3407" s="2"/>
      <c r="P3407" s="2"/>
    </row>
    <row r="3408" spans="1:16" x14ac:dyDescent="0.25">
      <c r="A3408" s="2"/>
      <c r="B3408" s="2"/>
      <c r="F3408" s="1"/>
      <c r="G3408" s="1"/>
      <c r="I3408" s="1"/>
      <c r="J3408" s="1"/>
      <c r="L3408" s="1"/>
      <c r="M3408" s="1"/>
      <c r="O3408" s="2"/>
      <c r="P3408" s="2"/>
    </row>
    <row r="3409" spans="1:16" x14ac:dyDescent="0.25">
      <c r="A3409" s="2"/>
      <c r="B3409" s="2"/>
      <c r="F3409" s="1"/>
      <c r="G3409" s="1"/>
      <c r="I3409" s="1"/>
      <c r="J3409" s="1"/>
      <c r="L3409" s="1"/>
      <c r="M3409" s="1"/>
      <c r="O3409" s="2"/>
      <c r="P3409" s="2"/>
    </row>
    <row r="3410" spans="1:16" x14ac:dyDescent="0.25">
      <c r="A3410" s="2"/>
      <c r="B3410" s="2"/>
      <c r="F3410" s="1"/>
      <c r="G3410" s="1"/>
      <c r="I3410" s="1"/>
      <c r="J3410" s="1"/>
      <c r="L3410" s="1"/>
      <c r="M3410" s="1"/>
      <c r="O3410" s="2"/>
      <c r="P3410" s="2"/>
    </row>
    <row r="3411" spans="1:16" x14ac:dyDescent="0.25">
      <c r="A3411" s="2"/>
      <c r="B3411" s="2"/>
      <c r="F3411" s="1"/>
      <c r="G3411" s="1"/>
      <c r="I3411" s="1"/>
      <c r="J3411" s="1"/>
      <c r="L3411" s="1"/>
      <c r="M3411" s="1"/>
      <c r="O3411" s="2"/>
      <c r="P3411" s="2"/>
    </row>
    <row r="3412" spans="1:16" x14ac:dyDescent="0.25">
      <c r="A3412" s="2"/>
      <c r="B3412" s="2"/>
      <c r="F3412" s="1"/>
      <c r="G3412" s="1"/>
      <c r="I3412" s="1"/>
      <c r="J3412" s="1"/>
      <c r="L3412" s="1"/>
      <c r="M3412" s="1"/>
      <c r="O3412" s="2"/>
      <c r="P3412" s="2"/>
    </row>
    <row r="3413" spans="1:16" x14ac:dyDescent="0.25">
      <c r="A3413" s="2"/>
      <c r="B3413" s="2"/>
      <c r="F3413" s="1"/>
      <c r="G3413" s="1"/>
      <c r="I3413" s="1"/>
      <c r="J3413" s="1"/>
      <c r="L3413" s="1"/>
      <c r="M3413" s="1"/>
      <c r="O3413" s="2"/>
      <c r="P3413" s="2"/>
    </row>
    <row r="3414" spans="1:16" x14ac:dyDescent="0.25">
      <c r="A3414" s="2"/>
      <c r="B3414" s="2"/>
      <c r="F3414" s="1"/>
      <c r="G3414" s="1"/>
      <c r="I3414" s="1"/>
      <c r="J3414" s="1"/>
      <c r="L3414" s="1"/>
      <c r="M3414" s="1"/>
      <c r="O3414" s="2"/>
      <c r="P3414" s="2"/>
    </row>
    <row r="3415" spans="1:16" x14ac:dyDescent="0.25">
      <c r="A3415" s="2"/>
      <c r="B3415" s="2"/>
      <c r="F3415" s="1"/>
      <c r="G3415" s="1"/>
      <c r="I3415" s="1"/>
      <c r="J3415" s="1"/>
      <c r="L3415" s="1"/>
      <c r="M3415" s="1"/>
      <c r="O3415" s="2"/>
      <c r="P3415" s="2"/>
    </row>
    <row r="3416" spans="1:16" x14ac:dyDescent="0.25">
      <c r="A3416" s="2"/>
      <c r="B3416" s="2"/>
      <c r="F3416" s="1"/>
      <c r="G3416" s="1"/>
      <c r="I3416" s="1"/>
      <c r="J3416" s="1"/>
      <c r="L3416" s="1"/>
      <c r="M3416" s="1"/>
      <c r="O3416" s="2"/>
      <c r="P3416" s="2"/>
    </row>
    <row r="3417" spans="1:16" x14ac:dyDescent="0.25">
      <c r="A3417" s="2"/>
      <c r="B3417" s="2"/>
      <c r="F3417" s="1"/>
      <c r="G3417" s="1"/>
      <c r="I3417" s="1"/>
      <c r="J3417" s="1"/>
      <c r="L3417" s="1"/>
      <c r="M3417" s="1"/>
      <c r="O3417" s="2"/>
      <c r="P3417" s="2"/>
    </row>
    <row r="3418" spans="1:16" x14ac:dyDescent="0.25">
      <c r="A3418" s="2"/>
      <c r="B3418" s="2"/>
      <c r="F3418" s="1"/>
      <c r="G3418" s="1"/>
      <c r="I3418" s="1"/>
      <c r="J3418" s="1"/>
      <c r="L3418" s="1"/>
      <c r="M3418" s="1"/>
      <c r="O3418" s="2"/>
      <c r="P3418" s="2"/>
    </row>
    <row r="3419" spans="1:16" x14ac:dyDescent="0.25">
      <c r="A3419" s="2"/>
      <c r="B3419" s="2"/>
      <c r="F3419" s="1"/>
      <c r="G3419" s="1"/>
      <c r="I3419" s="1"/>
      <c r="J3419" s="1"/>
      <c r="L3419" s="1"/>
      <c r="M3419" s="1"/>
      <c r="O3419" s="2"/>
      <c r="P3419" s="2"/>
    </row>
    <row r="3420" spans="1:16" x14ac:dyDescent="0.25">
      <c r="A3420" s="2"/>
      <c r="B3420" s="2"/>
      <c r="F3420" s="1"/>
      <c r="G3420" s="1"/>
      <c r="I3420" s="1"/>
      <c r="J3420" s="1"/>
      <c r="L3420" s="1"/>
      <c r="M3420" s="1"/>
      <c r="O3420" s="2"/>
      <c r="P3420" s="2"/>
    </row>
    <row r="3421" spans="1:16" x14ac:dyDescent="0.25">
      <c r="A3421" s="2"/>
      <c r="B3421" s="2"/>
      <c r="F3421" s="1"/>
      <c r="G3421" s="1"/>
      <c r="I3421" s="1"/>
      <c r="J3421" s="1"/>
      <c r="L3421" s="1"/>
      <c r="M3421" s="1"/>
      <c r="O3421" s="2"/>
      <c r="P3421" s="2"/>
    </row>
    <row r="3422" spans="1:16" x14ac:dyDescent="0.25">
      <c r="A3422" s="2"/>
      <c r="B3422" s="2"/>
      <c r="F3422" s="1"/>
      <c r="G3422" s="1"/>
      <c r="I3422" s="1"/>
      <c r="J3422" s="1"/>
      <c r="L3422" s="1"/>
      <c r="M3422" s="1"/>
      <c r="O3422" s="2"/>
      <c r="P3422" s="2"/>
    </row>
    <row r="3423" spans="1:16" x14ac:dyDescent="0.25">
      <c r="A3423" s="2"/>
      <c r="B3423" s="2"/>
      <c r="F3423" s="1"/>
      <c r="G3423" s="1"/>
      <c r="I3423" s="1"/>
      <c r="J3423" s="1"/>
      <c r="L3423" s="1"/>
      <c r="M3423" s="1"/>
      <c r="O3423" s="2"/>
      <c r="P3423" s="2"/>
    </row>
    <row r="3424" spans="1:16" x14ac:dyDescent="0.25">
      <c r="A3424" s="2"/>
      <c r="B3424" s="2"/>
      <c r="F3424" s="1"/>
      <c r="G3424" s="1"/>
      <c r="I3424" s="1"/>
      <c r="J3424" s="1"/>
      <c r="L3424" s="1"/>
      <c r="M3424" s="1"/>
      <c r="O3424" s="2"/>
      <c r="P3424" s="2"/>
    </row>
    <row r="3425" spans="1:16" x14ac:dyDescent="0.25">
      <c r="A3425" s="2"/>
      <c r="B3425" s="2"/>
      <c r="F3425" s="1"/>
      <c r="G3425" s="1"/>
      <c r="I3425" s="1"/>
      <c r="J3425" s="1"/>
      <c r="L3425" s="1"/>
      <c r="M3425" s="1"/>
      <c r="O3425" s="2"/>
      <c r="P3425" s="2"/>
    </row>
    <row r="3426" spans="1:16" x14ac:dyDescent="0.25">
      <c r="A3426" s="2"/>
      <c r="B3426" s="2"/>
      <c r="F3426" s="1"/>
      <c r="G3426" s="1"/>
      <c r="I3426" s="1"/>
      <c r="J3426" s="1"/>
      <c r="L3426" s="1"/>
      <c r="M3426" s="1"/>
      <c r="O3426" s="2"/>
      <c r="P3426" s="2"/>
    </row>
    <row r="3427" spans="1:16" x14ac:dyDescent="0.25">
      <c r="A3427" s="2"/>
      <c r="B3427" s="2"/>
      <c r="F3427" s="1"/>
      <c r="G3427" s="1"/>
      <c r="I3427" s="1"/>
      <c r="J3427" s="1"/>
      <c r="L3427" s="1"/>
      <c r="M3427" s="1"/>
      <c r="O3427" s="2"/>
      <c r="P3427" s="2"/>
    </row>
    <row r="3428" spans="1:16" x14ac:dyDescent="0.25">
      <c r="A3428" s="2"/>
      <c r="B3428" s="2"/>
      <c r="F3428" s="1"/>
      <c r="G3428" s="1"/>
      <c r="I3428" s="1"/>
      <c r="J3428" s="1"/>
      <c r="L3428" s="1"/>
      <c r="M3428" s="1"/>
      <c r="O3428" s="2"/>
      <c r="P3428" s="2"/>
    </row>
    <row r="3429" spans="1:16" x14ac:dyDescent="0.25">
      <c r="A3429" s="2"/>
      <c r="B3429" s="2"/>
      <c r="F3429" s="1"/>
      <c r="G3429" s="1"/>
      <c r="I3429" s="1"/>
      <c r="J3429" s="1"/>
      <c r="L3429" s="1"/>
      <c r="M3429" s="1"/>
      <c r="O3429" s="2"/>
      <c r="P3429" s="2"/>
    </row>
    <row r="3430" spans="1:16" x14ac:dyDescent="0.25">
      <c r="A3430" s="2"/>
      <c r="B3430" s="2"/>
      <c r="F3430" s="1"/>
      <c r="G3430" s="1"/>
      <c r="I3430" s="1"/>
      <c r="J3430" s="1"/>
      <c r="L3430" s="1"/>
      <c r="M3430" s="1"/>
      <c r="O3430" s="2"/>
      <c r="P3430" s="2"/>
    </row>
    <row r="3431" spans="1:16" x14ac:dyDescent="0.25">
      <c r="A3431" s="2"/>
      <c r="B3431" s="2"/>
      <c r="F3431" s="1"/>
      <c r="G3431" s="1"/>
      <c r="I3431" s="1"/>
      <c r="J3431" s="1"/>
      <c r="L3431" s="1"/>
      <c r="M3431" s="1"/>
      <c r="O3431" s="2"/>
      <c r="P3431" s="2"/>
    </row>
    <row r="3432" spans="1:16" x14ac:dyDescent="0.25">
      <c r="A3432" s="2"/>
      <c r="B3432" s="2"/>
      <c r="F3432" s="1"/>
      <c r="G3432" s="1"/>
      <c r="I3432" s="1"/>
      <c r="J3432" s="1"/>
      <c r="L3432" s="1"/>
      <c r="M3432" s="1"/>
      <c r="O3432" s="2"/>
      <c r="P3432" s="2"/>
    </row>
    <row r="3433" spans="1:16" x14ac:dyDescent="0.25">
      <c r="A3433" s="2"/>
      <c r="B3433" s="2"/>
      <c r="F3433" s="1"/>
      <c r="G3433" s="1"/>
      <c r="I3433" s="1"/>
      <c r="J3433" s="1"/>
      <c r="L3433" s="1"/>
      <c r="M3433" s="1"/>
      <c r="O3433" s="2"/>
      <c r="P3433" s="2"/>
    </row>
    <row r="3434" spans="1:16" x14ac:dyDescent="0.25">
      <c r="A3434" s="2"/>
      <c r="B3434" s="2"/>
      <c r="F3434" s="1"/>
      <c r="G3434" s="1"/>
      <c r="I3434" s="1"/>
      <c r="J3434" s="1"/>
      <c r="L3434" s="1"/>
      <c r="M3434" s="1"/>
      <c r="O3434" s="2"/>
      <c r="P3434" s="2"/>
    </row>
    <row r="3435" spans="1:16" x14ac:dyDescent="0.25">
      <c r="A3435" s="2"/>
      <c r="B3435" s="2"/>
      <c r="F3435" s="1"/>
      <c r="G3435" s="1"/>
      <c r="I3435" s="1"/>
      <c r="J3435" s="1"/>
      <c r="L3435" s="1"/>
      <c r="M3435" s="1"/>
      <c r="O3435" s="2"/>
      <c r="P3435" s="2"/>
    </row>
    <row r="3436" spans="1:16" x14ac:dyDescent="0.25">
      <c r="A3436" s="2"/>
      <c r="B3436" s="2"/>
      <c r="F3436" s="1"/>
      <c r="G3436" s="1"/>
      <c r="I3436" s="1"/>
      <c r="J3436" s="1"/>
      <c r="L3436" s="1"/>
      <c r="M3436" s="1"/>
      <c r="O3436" s="2"/>
      <c r="P3436" s="2"/>
    </row>
    <row r="3437" spans="1:16" x14ac:dyDescent="0.25">
      <c r="A3437" s="2"/>
      <c r="B3437" s="2"/>
      <c r="F3437" s="1"/>
      <c r="G3437" s="1"/>
      <c r="I3437" s="1"/>
      <c r="J3437" s="1"/>
      <c r="L3437" s="1"/>
      <c r="M3437" s="1"/>
      <c r="O3437" s="2"/>
      <c r="P3437" s="2"/>
    </row>
    <row r="3438" spans="1:16" x14ac:dyDescent="0.25">
      <c r="A3438" s="2"/>
      <c r="B3438" s="2"/>
      <c r="F3438" s="1"/>
      <c r="G3438" s="1"/>
      <c r="I3438" s="1"/>
      <c r="J3438" s="1"/>
      <c r="L3438" s="1"/>
      <c r="M3438" s="1"/>
      <c r="O3438" s="2"/>
      <c r="P3438" s="2"/>
    </row>
    <row r="3439" spans="1:16" x14ac:dyDescent="0.25">
      <c r="A3439" s="2"/>
      <c r="B3439" s="2"/>
      <c r="F3439" s="1"/>
      <c r="G3439" s="1"/>
      <c r="I3439" s="1"/>
      <c r="J3439" s="1"/>
      <c r="L3439" s="1"/>
      <c r="M3439" s="1"/>
      <c r="O3439" s="2"/>
      <c r="P3439" s="2"/>
    </row>
    <row r="3440" spans="1:16" x14ac:dyDescent="0.25">
      <c r="A3440" s="2"/>
      <c r="B3440" s="2"/>
      <c r="F3440" s="1"/>
      <c r="G3440" s="1"/>
      <c r="I3440" s="1"/>
      <c r="J3440" s="1"/>
      <c r="L3440" s="1"/>
      <c r="M3440" s="1"/>
      <c r="O3440" s="2"/>
      <c r="P3440" s="2"/>
    </row>
    <row r="3441" spans="1:16" x14ac:dyDescent="0.25">
      <c r="A3441" s="2"/>
      <c r="B3441" s="2"/>
      <c r="F3441" s="1"/>
      <c r="G3441" s="1"/>
      <c r="I3441" s="1"/>
      <c r="J3441" s="1"/>
      <c r="L3441" s="1"/>
      <c r="M3441" s="1"/>
      <c r="O3441" s="2"/>
      <c r="P3441" s="2"/>
    </row>
    <row r="3442" spans="1:16" x14ac:dyDescent="0.25">
      <c r="A3442" s="2"/>
      <c r="B3442" s="2"/>
      <c r="F3442" s="1"/>
      <c r="G3442" s="1"/>
      <c r="I3442" s="1"/>
      <c r="J3442" s="1"/>
      <c r="L3442" s="1"/>
      <c r="M3442" s="1"/>
      <c r="O3442" s="2"/>
      <c r="P3442" s="2"/>
    </row>
    <row r="3443" spans="1:16" x14ac:dyDescent="0.25">
      <c r="A3443" s="2"/>
      <c r="B3443" s="2"/>
      <c r="F3443" s="1"/>
      <c r="G3443" s="1"/>
      <c r="I3443" s="1"/>
      <c r="J3443" s="1"/>
      <c r="L3443" s="1"/>
      <c r="M3443" s="1"/>
      <c r="O3443" s="2"/>
      <c r="P3443" s="2"/>
    </row>
    <row r="3444" spans="1:16" x14ac:dyDescent="0.25">
      <c r="A3444" s="2"/>
      <c r="B3444" s="2"/>
      <c r="F3444" s="1"/>
      <c r="G3444" s="1"/>
      <c r="I3444" s="1"/>
      <c r="J3444" s="1"/>
      <c r="L3444" s="1"/>
      <c r="M3444" s="1"/>
      <c r="O3444" s="2"/>
      <c r="P3444" s="2"/>
    </row>
    <row r="3445" spans="1:16" x14ac:dyDescent="0.25">
      <c r="A3445" s="2"/>
      <c r="B3445" s="2"/>
      <c r="F3445" s="1"/>
      <c r="G3445" s="1"/>
      <c r="I3445" s="1"/>
      <c r="J3445" s="1"/>
      <c r="L3445" s="1"/>
      <c r="M3445" s="1"/>
      <c r="O3445" s="2"/>
      <c r="P3445" s="2"/>
    </row>
    <row r="3446" spans="1:16" x14ac:dyDescent="0.25">
      <c r="A3446" s="2"/>
      <c r="B3446" s="2"/>
      <c r="F3446" s="1"/>
      <c r="G3446" s="1"/>
      <c r="I3446" s="1"/>
      <c r="J3446" s="1"/>
      <c r="L3446" s="1"/>
      <c r="M3446" s="1"/>
      <c r="O3446" s="2"/>
      <c r="P3446" s="2"/>
    </row>
    <row r="3447" spans="1:16" x14ac:dyDescent="0.25">
      <c r="A3447" s="2"/>
      <c r="B3447" s="2"/>
      <c r="F3447" s="1"/>
      <c r="G3447" s="1"/>
      <c r="I3447" s="1"/>
      <c r="J3447" s="1"/>
      <c r="L3447" s="1"/>
      <c r="M3447" s="1"/>
      <c r="O3447" s="2"/>
      <c r="P3447" s="2"/>
    </row>
    <row r="3448" spans="1:16" x14ac:dyDescent="0.25">
      <c r="A3448" s="2"/>
      <c r="B3448" s="2"/>
      <c r="F3448" s="1"/>
      <c r="G3448" s="1"/>
      <c r="I3448" s="1"/>
      <c r="J3448" s="1"/>
      <c r="L3448" s="1"/>
      <c r="M3448" s="1"/>
      <c r="O3448" s="2"/>
      <c r="P3448" s="2"/>
    </row>
    <row r="3449" spans="1:16" x14ac:dyDescent="0.25">
      <c r="A3449" s="2"/>
      <c r="B3449" s="2"/>
      <c r="F3449" s="1"/>
      <c r="G3449" s="1"/>
      <c r="I3449" s="1"/>
      <c r="J3449" s="1"/>
      <c r="L3449" s="1"/>
      <c r="M3449" s="1"/>
      <c r="O3449" s="2"/>
      <c r="P3449" s="2"/>
    </row>
    <row r="3450" spans="1:16" x14ac:dyDescent="0.25">
      <c r="A3450" s="2"/>
      <c r="B3450" s="2"/>
      <c r="F3450" s="1"/>
      <c r="G3450" s="1"/>
      <c r="I3450" s="1"/>
      <c r="J3450" s="1"/>
      <c r="L3450" s="1"/>
      <c r="M3450" s="1"/>
      <c r="O3450" s="2"/>
      <c r="P3450" s="2"/>
    </row>
    <row r="3451" spans="1:16" x14ac:dyDescent="0.25">
      <c r="A3451" s="2"/>
      <c r="B3451" s="2"/>
      <c r="F3451" s="1"/>
      <c r="G3451" s="1"/>
      <c r="I3451" s="1"/>
      <c r="J3451" s="1"/>
      <c r="L3451" s="1"/>
      <c r="M3451" s="1"/>
      <c r="O3451" s="2"/>
      <c r="P3451" s="2"/>
    </row>
    <row r="3452" spans="1:16" x14ac:dyDescent="0.25">
      <c r="A3452" s="2"/>
      <c r="B3452" s="2"/>
      <c r="F3452" s="1"/>
      <c r="G3452" s="1"/>
      <c r="I3452" s="1"/>
      <c r="J3452" s="1"/>
      <c r="L3452" s="1"/>
      <c r="M3452" s="1"/>
      <c r="O3452" s="2"/>
      <c r="P3452" s="2"/>
    </row>
    <row r="3453" spans="1:16" x14ac:dyDescent="0.25">
      <c r="A3453" s="2"/>
      <c r="B3453" s="2"/>
      <c r="F3453" s="1"/>
      <c r="G3453" s="1"/>
      <c r="I3453" s="1"/>
      <c r="J3453" s="1"/>
      <c r="L3453" s="1"/>
      <c r="M3453" s="1"/>
      <c r="O3453" s="2"/>
      <c r="P3453" s="2"/>
    </row>
    <row r="3454" spans="1:16" x14ac:dyDescent="0.25">
      <c r="A3454" s="2"/>
      <c r="B3454" s="2"/>
      <c r="F3454" s="1"/>
      <c r="G3454" s="1"/>
      <c r="I3454" s="1"/>
      <c r="J3454" s="1"/>
      <c r="L3454" s="1"/>
      <c r="M3454" s="1"/>
      <c r="O3454" s="2"/>
      <c r="P3454" s="2"/>
    </row>
    <row r="3455" spans="1:16" x14ac:dyDescent="0.25">
      <c r="A3455" s="2"/>
      <c r="B3455" s="2"/>
      <c r="F3455" s="1"/>
      <c r="G3455" s="1"/>
      <c r="I3455" s="1"/>
      <c r="J3455" s="1"/>
      <c r="L3455" s="1"/>
      <c r="M3455" s="1"/>
      <c r="O3455" s="2"/>
      <c r="P3455" s="2"/>
    </row>
    <row r="3456" spans="1:16" x14ac:dyDescent="0.25">
      <c r="A3456" s="2"/>
      <c r="B3456" s="2"/>
      <c r="F3456" s="1"/>
      <c r="G3456" s="1"/>
      <c r="I3456" s="1"/>
      <c r="J3456" s="1"/>
      <c r="L3456" s="1"/>
      <c r="M3456" s="1"/>
      <c r="O3456" s="2"/>
      <c r="P3456" s="2"/>
    </row>
    <row r="3457" spans="1:16" x14ac:dyDescent="0.25">
      <c r="A3457" s="2"/>
      <c r="B3457" s="2"/>
      <c r="F3457" s="1"/>
      <c r="G3457" s="1"/>
      <c r="I3457" s="1"/>
      <c r="J3457" s="1"/>
      <c r="L3457" s="1"/>
      <c r="M3457" s="1"/>
      <c r="O3457" s="2"/>
      <c r="P3457" s="2"/>
    </row>
    <row r="3458" spans="1:16" x14ac:dyDescent="0.25">
      <c r="A3458" s="2"/>
      <c r="B3458" s="2"/>
      <c r="F3458" s="1"/>
      <c r="G3458" s="1"/>
      <c r="I3458" s="1"/>
      <c r="J3458" s="1"/>
      <c r="L3458" s="1"/>
      <c r="M3458" s="1"/>
      <c r="O3458" s="2"/>
      <c r="P3458" s="2"/>
    </row>
    <row r="3459" spans="1:16" x14ac:dyDescent="0.25">
      <c r="A3459" s="2"/>
      <c r="B3459" s="2"/>
      <c r="F3459" s="1"/>
      <c r="G3459" s="1"/>
      <c r="I3459" s="1"/>
      <c r="J3459" s="1"/>
      <c r="L3459" s="1"/>
      <c r="M3459" s="1"/>
      <c r="O3459" s="2"/>
      <c r="P3459" s="2"/>
    </row>
    <row r="3460" spans="1:16" x14ac:dyDescent="0.25">
      <c r="A3460" s="2"/>
      <c r="B3460" s="2"/>
      <c r="F3460" s="1"/>
      <c r="G3460" s="1"/>
      <c r="I3460" s="1"/>
      <c r="J3460" s="1"/>
      <c r="L3460" s="1"/>
      <c r="M3460" s="1"/>
      <c r="O3460" s="2"/>
      <c r="P3460" s="2"/>
    </row>
    <row r="3461" spans="1:16" x14ac:dyDescent="0.25">
      <c r="A3461" s="2"/>
      <c r="B3461" s="2"/>
      <c r="F3461" s="1"/>
      <c r="G3461" s="1"/>
      <c r="I3461" s="1"/>
      <c r="J3461" s="1"/>
      <c r="L3461" s="1"/>
      <c r="M3461" s="1"/>
      <c r="O3461" s="2"/>
      <c r="P3461" s="2"/>
    </row>
    <row r="3462" spans="1:16" x14ac:dyDescent="0.25">
      <c r="A3462" s="2"/>
      <c r="B3462" s="2"/>
      <c r="F3462" s="1"/>
      <c r="G3462" s="1"/>
      <c r="I3462" s="1"/>
      <c r="J3462" s="1"/>
      <c r="L3462" s="1"/>
      <c r="M3462" s="1"/>
      <c r="O3462" s="2"/>
      <c r="P3462" s="2"/>
    </row>
    <row r="3463" spans="1:16" x14ac:dyDescent="0.25">
      <c r="A3463" s="2"/>
      <c r="B3463" s="2"/>
      <c r="F3463" s="1"/>
      <c r="G3463" s="1"/>
      <c r="I3463" s="1"/>
      <c r="J3463" s="1"/>
      <c r="L3463" s="1"/>
      <c r="M3463" s="1"/>
      <c r="O3463" s="2"/>
      <c r="P3463" s="2"/>
    </row>
    <row r="3464" spans="1:16" x14ac:dyDescent="0.25">
      <c r="A3464" s="2"/>
      <c r="B3464" s="2"/>
      <c r="F3464" s="1"/>
      <c r="G3464" s="1"/>
      <c r="I3464" s="1"/>
      <c r="J3464" s="1"/>
      <c r="L3464" s="1"/>
      <c r="M3464" s="1"/>
      <c r="O3464" s="2"/>
      <c r="P3464" s="2"/>
    </row>
    <row r="3465" spans="1:16" x14ac:dyDescent="0.25">
      <c r="A3465" s="2"/>
      <c r="B3465" s="2"/>
      <c r="F3465" s="1"/>
      <c r="G3465" s="1"/>
      <c r="I3465" s="1"/>
      <c r="J3465" s="1"/>
      <c r="L3465" s="1"/>
      <c r="M3465" s="1"/>
      <c r="O3465" s="2"/>
      <c r="P3465" s="2"/>
    </row>
    <row r="3466" spans="1:16" x14ac:dyDescent="0.25">
      <c r="A3466" s="2"/>
      <c r="B3466" s="2"/>
      <c r="F3466" s="1"/>
      <c r="G3466" s="1"/>
      <c r="I3466" s="1"/>
      <c r="J3466" s="1"/>
      <c r="L3466" s="1"/>
      <c r="M3466" s="1"/>
      <c r="O3466" s="2"/>
      <c r="P3466" s="2"/>
    </row>
    <row r="3467" spans="1:16" x14ac:dyDescent="0.25">
      <c r="A3467" s="2"/>
      <c r="B3467" s="2"/>
      <c r="F3467" s="1"/>
      <c r="G3467" s="1"/>
      <c r="I3467" s="1"/>
      <c r="J3467" s="1"/>
      <c r="L3467" s="1"/>
      <c r="M3467" s="1"/>
      <c r="O3467" s="2"/>
      <c r="P3467" s="2"/>
    </row>
    <row r="3468" spans="1:16" x14ac:dyDescent="0.25">
      <c r="A3468" s="2"/>
      <c r="B3468" s="2"/>
      <c r="F3468" s="1"/>
      <c r="G3468" s="1"/>
      <c r="I3468" s="1"/>
      <c r="J3468" s="1"/>
      <c r="L3468" s="1"/>
      <c r="M3468" s="1"/>
      <c r="O3468" s="2"/>
      <c r="P3468" s="2"/>
    </row>
    <row r="3469" spans="1:16" x14ac:dyDescent="0.25">
      <c r="A3469" s="2"/>
      <c r="B3469" s="2"/>
      <c r="F3469" s="1"/>
      <c r="G3469" s="1"/>
      <c r="I3469" s="1"/>
      <c r="J3469" s="1"/>
      <c r="L3469" s="1"/>
      <c r="M3469" s="1"/>
      <c r="O3469" s="2"/>
      <c r="P3469" s="2"/>
    </row>
    <row r="3470" spans="1:16" x14ac:dyDescent="0.25">
      <c r="A3470" s="2"/>
      <c r="B3470" s="2"/>
      <c r="F3470" s="1"/>
      <c r="G3470" s="1"/>
      <c r="I3470" s="1"/>
      <c r="J3470" s="1"/>
      <c r="L3470" s="1"/>
      <c r="M3470" s="1"/>
      <c r="O3470" s="2"/>
      <c r="P3470" s="2"/>
    </row>
    <row r="3471" spans="1:16" x14ac:dyDescent="0.25">
      <c r="A3471" s="2"/>
      <c r="B3471" s="2"/>
      <c r="F3471" s="1"/>
      <c r="G3471" s="1"/>
      <c r="I3471" s="1"/>
      <c r="J3471" s="1"/>
      <c r="L3471" s="1"/>
      <c r="M3471" s="1"/>
      <c r="O3471" s="2"/>
      <c r="P3471" s="2"/>
    </row>
    <row r="3472" spans="1:16" x14ac:dyDescent="0.25">
      <c r="A3472" s="2"/>
      <c r="B3472" s="2"/>
      <c r="F3472" s="1"/>
      <c r="G3472" s="1"/>
      <c r="I3472" s="1"/>
      <c r="J3472" s="1"/>
      <c r="L3472" s="1"/>
      <c r="M3472" s="1"/>
      <c r="O3472" s="2"/>
      <c r="P3472" s="2"/>
    </row>
    <row r="3473" spans="1:16" x14ac:dyDescent="0.25">
      <c r="A3473" s="2"/>
      <c r="B3473" s="2"/>
      <c r="F3473" s="1"/>
      <c r="G3473" s="1"/>
      <c r="I3473" s="1"/>
      <c r="J3473" s="1"/>
      <c r="L3473" s="1"/>
      <c r="M3473" s="1"/>
      <c r="O3473" s="2"/>
      <c r="P3473" s="2"/>
    </row>
    <row r="3474" spans="1:16" x14ac:dyDescent="0.25">
      <c r="A3474" s="2"/>
      <c r="B3474" s="2"/>
      <c r="F3474" s="1"/>
      <c r="G3474" s="1"/>
      <c r="I3474" s="1"/>
      <c r="J3474" s="1"/>
      <c r="L3474" s="1"/>
      <c r="M3474" s="1"/>
      <c r="O3474" s="2"/>
      <c r="P3474" s="2"/>
    </row>
    <row r="3475" spans="1:16" x14ac:dyDescent="0.25">
      <c r="A3475" s="2"/>
      <c r="B3475" s="2"/>
      <c r="F3475" s="1"/>
      <c r="G3475" s="1"/>
      <c r="I3475" s="1"/>
      <c r="J3475" s="1"/>
      <c r="L3475" s="1"/>
      <c r="M3475" s="1"/>
      <c r="O3475" s="2"/>
      <c r="P3475" s="2"/>
    </row>
    <row r="3476" spans="1:16" x14ac:dyDescent="0.25">
      <c r="A3476" s="2"/>
      <c r="B3476" s="2"/>
      <c r="F3476" s="1"/>
      <c r="G3476" s="1"/>
      <c r="I3476" s="1"/>
      <c r="J3476" s="1"/>
      <c r="L3476" s="1"/>
      <c r="M3476" s="1"/>
      <c r="O3476" s="2"/>
      <c r="P3476" s="2"/>
    </row>
    <row r="3477" spans="1:16" x14ac:dyDescent="0.25">
      <c r="A3477" s="2"/>
      <c r="B3477" s="2"/>
      <c r="F3477" s="1"/>
      <c r="G3477" s="1"/>
      <c r="I3477" s="1"/>
      <c r="J3477" s="1"/>
      <c r="L3477" s="1"/>
      <c r="M3477" s="1"/>
      <c r="O3477" s="2"/>
      <c r="P3477" s="2"/>
    </row>
    <row r="3478" spans="1:16" x14ac:dyDescent="0.25">
      <c r="A3478" s="2"/>
      <c r="B3478" s="2"/>
      <c r="F3478" s="1"/>
      <c r="G3478" s="1"/>
      <c r="I3478" s="1"/>
      <c r="J3478" s="1"/>
      <c r="L3478" s="1"/>
      <c r="M3478" s="1"/>
      <c r="O3478" s="2"/>
      <c r="P3478" s="2"/>
    </row>
    <row r="3479" spans="1:16" x14ac:dyDescent="0.25">
      <c r="A3479" s="2"/>
      <c r="B3479" s="2"/>
      <c r="F3479" s="1"/>
      <c r="G3479" s="1"/>
      <c r="I3479" s="1"/>
      <c r="J3479" s="1"/>
      <c r="L3479" s="1"/>
      <c r="M3479" s="1"/>
      <c r="O3479" s="2"/>
      <c r="P3479" s="2"/>
    </row>
    <row r="3480" spans="1:16" x14ac:dyDescent="0.25">
      <c r="A3480" s="2"/>
      <c r="B3480" s="2"/>
      <c r="F3480" s="1"/>
      <c r="G3480" s="1"/>
      <c r="I3480" s="1"/>
      <c r="J3480" s="1"/>
      <c r="L3480" s="1"/>
      <c r="M3480" s="1"/>
      <c r="O3480" s="2"/>
      <c r="P3480" s="2"/>
    </row>
    <row r="3481" spans="1:16" x14ac:dyDescent="0.25">
      <c r="A3481" s="2"/>
      <c r="B3481" s="2"/>
      <c r="F3481" s="1"/>
      <c r="G3481" s="1"/>
      <c r="I3481" s="1"/>
      <c r="J3481" s="1"/>
      <c r="L3481" s="1"/>
      <c r="M3481" s="1"/>
      <c r="O3481" s="2"/>
      <c r="P3481" s="2"/>
    </row>
    <row r="3482" spans="1:16" x14ac:dyDescent="0.25">
      <c r="A3482" s="2"/>
      <c r="B3482" s="2"/>
      <c r="F3482" s="1"/>
      <c r="G3482" s="1"/>
      <c r="I3482" s="1"/>
      <c r="J3482" s="1"/>
      <c r="L3482" s="1"/>
      <c r="M3482" s="1"/>
      <c r="O3482" s="2"/>
      <c r="P3482" s="2"/>
    </row>
    <row r="3483" spans="1:16" x14ac:dyDescent="0.25">
      <c r="A3483" s="2"/>
      <c r="B3483" s="2"/>
      <c r="F3483" s="1"/>
      <c r="G3483" s="1"/>
      <c r="I3483" s="1"/>
      <c r="J3483" s="1"/>
      <c r="L3483" s="1"/>
      <c r="M3483" s="1"/>
      <c r="O3483" s="2"/>
      <c r="P3483" s="2"/>
    </row>
    <row r="3484" spans="1:16" x14ac:dyDescent="0.25">
      <c r="A3484" s="2"/>
      <c r="B3484" s="2"/>
      <c r="F3484" s="1"/>
      <c r="G3484" s="1"/>
      <c r="I3484" s="1"/>
      <c r="J3484" s="1"/>
      <c r="L3484" s="1"/>
      <c r="M3484" s="1"/>
      <c r="O3484" s="2"/>
      <c r="P3484" s="2"/>
    </row>
    <row r="3485" spans="1:16" x14ac:dyDescent="0.25">
      <c r="A3485" s="2"/>
      <c r="B3485" s="2"/>
      <c r="F3485" s="1"/>
      <c r="G3485" s="1"/>
      <c r="I3485" s="1"/>
      <c r="J3485" s="1"/>
      <c r="L3485" s="1"/>
      <c r="M3485" s="1"/>
      <c r="O3485" s="2"/>
      <c r="P3485" s="2"/>
    </row>
    <row r="3486" spans="1:16" x14ac:dyDescent="0.25">
      <c r="A3486" s="2"/>
      <c r="B3486" s="2"/>
      <c r="F3486" s="1"/>
      <c r="G3486" s="1"/>
      <c r="I3486" s="1"/>
      <c r="J3486" s="1"/>
      <c r="L3486" s="1"/>
      <c r="M3486" s="1"/>
      <c r="O3486" s="2"/>
      <c r="P3486" s="2"/>
    </row>
    <row r="3487" spans="1:16" x14ac:dyDescent="0.25">
      <c r="A3487" s="2"/>
      <c r="B3487" s="2"/>
      <c r="F3487" s="1"/>
      <c r="G3487" s="1"/>
      <c r="I3487" s="1"/>
      <c r="J3487" s="1"/>
      <c r="L3487" s="1"/>
      <c r="M3487" s="1"/>
      <c r="O3487" s="2"/>
      <c r="P3487" s="2"/>
    </row>
    <row r="3488" spans="1:16" x14ac:dyDescent="0.25">
      <c r="A3488" s="2"/>
      <c r="B3488" s="2"/>
      <c r="F3488" s="1"/>
      <c r="G3488" s="1"/>
      <c r="I3488" s="1"/>
      <c r="J3488" s="1"/>
      <c r="L3488" s="1"/>
      <c r="M3488" s="1"/>
      <c r="O3488" s="2"/>
      <c r="P3488" s="2"/>
    </row>
    <row r="3489" spans="1:16" x14ac:dyDescent="0.25">
      <c r="A3489" s="2"/>
      <c r="B3489" s="2"/>
      <c r="F3489" s="1"/>
      <c r="G3489" s="1"/>
      <c r="I3489" s="1"/>
      <c r="J3489" s="1"/>
      <c r="L3489" s="1"/>
      <c r="M3489" s="1"/>
      <c r="O3489" s="2"/>
      <c r="P3489" s="2"/>
    </row>
    <row r="3490" spans="1:16" x14ac:dyDescent="0.25">
      <c r="A3490" s="2"/>
      <c r="B3490" s="2"/>
      <c r="F3490" s="1"/>
      <c r="G3490" s="1"/>
      <c r="I3490" s="1"/>
      <c r="J3490" s="1"/>
      <c r="L3490" s="1"/>
      <c r="M3490" s="1"/>
      <c r="O3490" s="2"/>
      <c r="P3490" s="2"/>
    </row>
    <row r="3491" spans="1:16" x14ac:dyDescent="0.25">
      <c r="A3491" s="2"/>
      <c r="B3491" s="2"/>
      <c r="F3491" s="1"/>
      <c r="G3491" s="1"/>
      <c r="I3491" s="1"/>
      <c r="J3491" s="1"/>
      <c r="L3491" s="1"/>
      <c r="M3491" s="1"/>
      <c r="O3491" s="2"/>
      <c r="P3491" s="2"/>
    </row>
    <row r="3492" spans="1:16" x14ac:dyDescent="0.25">
      <c r="A3492" s="2"/>
      <c r="B3492" s="2"/>
      <c r="F3492" s="1"/>
      <c r="G3492" s="1"/>
      <c r="I3492" s="1"/>
      <c r="J3492" s="1"/>
      <c r="L3492" s="1"/>
      <c r="M3492" s="1"/>
      <c r="O3492" s="2"/>
      <c r="P3492" s="2"/>
    </row>
    <row r="3493" spans="1:16" x14ac:dyDescent="0.25">
      <c r="A3493" s="2"/>
      <c r="B3493" s="2"/>
      <c r="F3493" s="1"/>
      <c r="G3493" s="1"/>
      <c r="I3493" s="1"/>
      <c r="J3493" s="1"/>
      <c r="L3493" s="1"/>
      <c r="M3493" s="1"/>
      <c r="O3493" s="2"/>
      <c r="P3493" s="2"/>
    </row>
    <row r="3494" spans="1:16" x14ac:dyDescent="0.25">
      <c r="A3494" s="2"/>
      <c r="B3494" s="2"/>
      <c r="F3494" s="1"/>
      <c r="G3494" s="1"/>
      <c r="I3494" s="1"/>
      <c r="J3494" s="1"/>
      <c r="L3494" s="1"/>
      <c r="M3494" s="1"/>
      <c r="O3494" s="2"/>
      <c r="P3494" s="2"/>
    </row>
    <row r="3495" spans="1:16" x14ac:dyDescent="0.25">
      <c r="A3495" s="2"/>
      <c r="B3495" s="2"/>
      <c r="F3495" s="1"/>
      <c r="G3495" s="1"/>
      <c r="I3495" s="1"/>
      <c r="J3495" s="1"/>
      <c r="L3495" s="1"/>
      <c r="M3495" s="1"/>
      <c r="O3495" s="2"/>
      <c r="P3495" s="2"/>
    </row>
    <row r="3496" spans="1:16" x14ac:dyDescent="0.25">
      <c r="A3496" s="2"/>
      <c r="B3496" s="2"/>
      <c r="F3496" s="1"/>
      <c r="G3496" s="1"/>
      <c r="I3496" s="1"/>
      <c r="J3496" s="1"/>
      <c r="L3496" s="1"/>
      <c r="M3496" s="1"/>
      <c r="O3496" s="2"/>
      <c r="P3496" s="2"/>
    </row>
    <row r="3497" spans="1:16" x14ac:dyDescent="0.25">
      <c r="A3497" s="2"/>
      <c r="B3497" s="2"/>
      <c r="F3497" s="1"/>
      <c r="G3497" s="1"/>
      <c r="I3497" s="1"/>
      <c r="J3497" s="1"/>
      <c r="L3497" s="1"/>
      <c r="M3497" s="1"/>
      <c r="O3497" s="2"/>
      <c r="P3497" s="2"/>
    </row>
    <row r="3498" spans="1:16" x14ac:dyDescent="0.25">
      <c r="A3498" s="2"/>
      <c r="B3498" s="2"/>
      <c r="F3498" s="1"/>
      <c r="G3498" s="1"/>
      <c r="I3498" s="1"/>
      <c r="J3498" s="1"/>
      <c r="L3498" s="1"/>
      <c r="M3498" s="1"/>
      <c r="O3498" s="2"/>
      <c r="P3498" s="2"/>
    </row>
    <row r="3499" spans="1:16" x14ac:dyDescent="0.25">
      <c r="A3499" s="2"/>
      <c r="B3499" s="2"/>
      <c r="F3499" s="1"/>
      <c r="G3499" s="1"/>
      <c r="I3499" s="1"/>
      <c r="J3499" s="1"/>
      <c r="L3499" s="1"/>
      <c r="M3499" s="1"/>
      <c r="O3499" s="2"/>
      <c r="P3499" s="2"/>
    </row>
    <row r="3500" spans="1:16" x14ac:dyDescent="0.25">
      <c r="A3500" s="2"/>
      <c r="B3500" s="2"/>
      <c r="F3500" s="1"/>
      <c r="G3500" s="1"/>
      <c r="I3500" s="1"/>
      <c r="J3500" s="1"/>
      <c r="L3500" s="1"/>
      <c r="M3500" s="1"/>
      <c r="O3500" s="2"/>
      <c r="P3500" s="2"/>
    </row>
    <row r="3501" spans="1:16" x14ac:dyDescent="0.25">
      <c r="A3501" s="2"/>
      <c r="B3501" s="2"/>
      <c r="F3501" s="1"/>
      <c r="G3501" s="1"/>
      <c r="I3501" s="1"/>
      <c r="J3501" s="1"/>
      <c r="L3501" s="1"/>
      <c r="M3501" s="1"/>
      <c r="O3501" s="2"/>
      <c r="P3501" s="2"/>
    </row>
    <row r="3502" spans="1:16" x14ac:dyDescent="0.25">
      <c r="A3502" s="2"/>
      <c r="B3502" s="2"/>
      <c r="F3502" s="1"/>
      <c r="G3502" s="1"/>
      <c r="I3502" s="1"/>
      <c r="J3502" s="1"/>
      <c r="L3502" s="1"/>
      <c r="M3502" s="1"/>
      <c r="O3502" s="2"/>
      <c r="P3502" s="2"/>
    </row>
    <row r="3503" spans="1:16" x14ac:dyDescent="0.25">
      <c r="A3503" s="2"/>
      <c r="B3503" s="2"/>
      <c r="F3503" s="1"/>
      <c r="G3503" s="1"/>
      <c r="I3503" s="1"/>
      <c r="J3503" s="1"/>
      <c r="L3503" s="1"/>
      <c r="M3503" s="1"/>
      <c r="O3503" s="2"/>
      <c r="P3503" s="2"/>
    </row>
    <row r="3504" spans="1:16" x14ac:dyDescent="0.25">
      <c r="A3504" s="2"/>
      <c r="B3504" s="2"/>
      <c r="F3504" s="1"/>
      <c r="G3504" s="1"/>
      <c r="I3504" s="1"/>
      <c r="J3504" s="1"/>
      <c r="L3504" s="1"/>
      <c r="M3504" s="1"/>
      <c r="O3504" s="2"/>
      <c r="P3504" s="2"/>
    </row>
    <row r="3505" spans="1:16" x14ac:dyDescent="0.25">
      <c r="A3505" s="2"/>
      <c r="B3505" s="2"/>
      <c r="F3505" s="1"/>
      <c r="G3505" s="1"/>
      <c r="I3505" s="1"/>
      <c r="J3505" s="1"/>
      <c r="L3505" s="1"/>
      <c r="M3505" s="1"/>
      <c r="O3505" s="2"/>
      <c r="P3505" s="2"/>
    </row>
    <row r="3506" spans="1:16" x14ac:dyDescent="0.25">
      <c r="A3506" s="2"/>
      <c r="B3506" s="2"/>
      <c r="F3506" s="1"/>
      <c r="G3506" s="1"/>
      <c r="I3506" s="1"/>
      <c r="J3506" s="1"/>
      <c r="L3506" s="1"/>
      <c r="M3506" s="1"/>
      <c r="O3506" s="2"/>
      <c r="P3506" s="2"/>
    </row>
    <row r="3507" spans="1:16" x14ac:dyDescent="0.25">
      <c r="A3507" s="2"/>
      <c r="B3507" s="2"/>
      <c r="F3507" s="1"/>
      <c r="G3507" s="1"/>
      <c r="I3507" s="1"/>
      <c r="J3507" s="1"/>
      <c r="L3507" s="1"/>
      <c r="M3507" s="1"/>
      <c r="O3507" s="2"/>
      <c r="P3507" s="2"/>
    </row>
    <row r="3508" spans="1:16" x14ac:dyDescent="0.25">
      <c r="A3508" s="2"/>
      <c r="B3508" s="2"/>
      <c r="F3508" s="1"/>
      <c r="G3508" s="1"/>
      <c r="I3508" s="1"/>
      <c r="J3508" s="1"/>
      <c r="L3508" s="1"/>
      <c r="M3508" s="1"/>
      <c r="O3508" s="2"/>
      <c r="P3508" s="2"/>
    </row>
    <row r="3509" spans="1:16" x14ac:dyDescent="0.25">
      <c r="A3509" s="2"/>
      <c r="B3509" s="2"/>
      <c r="F3509" s="1"/>
      <c r="G3509" s="1"/>
      <c r="I3509" s="1"/>
      <c r="J3509" s="1"/>
      <c r="L3509" s="1"/>
      <c r="M3509" s="1"/>
      <c r="O3509" s="2"/>
      <c r="P3509" s="2"/>
    </row>
    <row r="3510" spans="1:16" x14ac:dyDescent="0.25">
      <c r="A3510" s="2"/>
      <c r="B3510" s="2"/>
      <c r="F3510" s="1"/>
      <c r="G3510" s="1"/>
      <c r="I3510" s="1"/>
      <c r="J3510" s="1"/>
      <c r="L3510" s="1"/>
      <c r="M3510" s="1"/>
      <c r="O3510" s="2"/>
      <c r="P3510" s="2"/>
    </row>
    <row r="3511" spans="1:16" x14ac:dyDescent="0.25">
      <c r="A3511" s="2"/>
      <c r="B3511" s="2"/>
      <c r="F3511" s="1"/>
      <c r="G3511" s="1"/>
      <c r="I3511" s="1"/>
      <c r="J3511" s="1"/>
      <c r="L3511" s="1"/>
      <c r="M3511" s="1"/>
      <c r="O3511" s="2"/>
      <c r="P3511" s="2"/>
    </row>
    <row r="3512" spans="1:16" x14ac:dyDescent="0.25">
      <c r="A3512" s="2"/>
      <c r="B3512" s="2"/>
      <c r="F3512" s="1"/>
      <c r="G3512" s="1"/>
      <c r="I3512" s="1"/>
      <c r="J3512" s="1"/>
      <c r="L3512" s="1"/>
      <c r="M3512" s="1"/>
      <c r="O3512" s="2"/>
      <c r="P3512" s="2"/>
    </row>
    <row r="3513" spans="1:16" x14ac:dyDescent="0.25">
      <c r="A3513" s="2"/>
      <c r="B3513" s="2"/>
      <c r="F3513" s="1"/>
      <c r="G3513" s="1"/>
      <c r="I3513" s="1"/>
      <c r="J3513" s="1"/>
      <c r="L3513" s="1"/>
      <c r="M3513" s="1"/>
      <c r="O3513" s="2"/>
      <c r="P3513" s="2"/>
    </row>
    <row r="3514" spans="1:16" x14ac:dyDescent="0.25">
      <c r="A3514" s="2"/>
      <c r="B3514" s="2"/>
      <c r="F3514" s="1"/>
      <c r="G3514" s="1"/>
      <c r="I3514" s="1"/>
      <c r="J3514" s="1"/>
      <c r="L3514" s="1"/>
      <c r="M3514" s="1"/>
      <c r="O3514" s="2"/>
      <c r="P3514" s="2"/>
    </row>
    <row r="3515" spans="1:16" x14ac:dyDescent="0.25">
      <c r="A3515" s="2"/>
      <c r="B3515" s="2"/>
      <c r="F3515" s="1"/>
      <c r="G3515" s="1"/>
      <c r="I3515" s="1"/>
      <c r="J3515" s="1"/>
      <c r="L3515" s="1"/>
      <c r="M3515" s="1"/>
      <c r="O3515" s="2"/>
      <c r="P3515" s="2"/>
    </row>
    <row r="3516" spans="1:16" x14ac:dyDescent="0.25">
      <c r="A3516" s="2"/>
      <c r="B3516" s="2"/>
      <c r="F3516" s="1"/>
      <c r="G3516" s="1"/>
      <c r="I3516" s="1"/>
      <c r="J3516" s="1"/>
      <c r="L3516" s="1"/>
      <c r="M3516" s="1"/>
      <c r="O3516" s="2"/>
      <c r="P3516" s="2"/>
    </row>
    <row r="3517" spans="1:16" x14ac:dyDescent="0.25">
      <c r="A3517" s="2"/>
      <c r="B3517" s="2"/>
      <c r="F3517" s="1"/>
      <c r="G3517" s="1"/>
      <c r="I3517" s="1"/>
      <c r="J3517" s="1"/>
      <c r="L3517" s="1"/>
      <c r="M3517" s="1"/>
      <c r="O3517" s="2"/>
      <c r="P3517" s="2"/>
    </row>
    <row r="3518" spans="1:16" x14ac:dyDescent="0.25">
      <c r="A3518" s="2"/>
      <c r="B3518" s="2"/>
      <c r="F3518" s="1"/>
      <c r="G3518" s="1"/>
      <c r="I3518" s="1"/>
      <c r="J3518" s="1"/>
      <c r="L3518" s="1"/>
      <c r="M3518" s="1"/>
      <c r="O3518" s="2"/>
      <c r="P3518" s="2"/>
    </row>
    <row r="3519" spans="1:16" x14ac:dyDescent="0.25">
      <c r="A3519" s="2"/>
      <c r="B3519" s="2"/>
      <c r="F3519" s="1"/>
      <c r="G3519" s="1"/>
      <c r="I3519" s="1"/>
      <c r="J3519" s="1"/>
      <c r="L3519" s="1"/>
      <c r="M3519" s="1"/>
      <c r="O3519" s="2"/>
      <c r="P3519" s="2"/>
    </row>
    <row r="3520" spans="1:16" x14ac:dyDescent="0.25">
      <c r="A3520" s="2"/>
      <c r="B3520" s="2"/>
      <c r="F3520" s="1"/>
      <c r="G3520" s="1"/>
      <c r="I3520" s="1"/>
      <c r="J3520" s="1"/>
      <c r="L3520" s="1"/>
      <c r="M3520" s="1"/>
      <c r="O3520" s="2"/>
      <c r="P3520" s="2"/>
    </row>
    <row r="3521" spans="1:16" x14ac:dyDescent="0.25">
      <c r="A3521" s="2"/>
      <c r="B3521" s="2"/>
      <c r="F3521" s="1"/>
      <c r="G3521" s="1"/>
      <c r="I3521" s="1"/>
      <c r="J3521" s="1"/>
      <c r="L3521" s="1"/>
      <c r="M3521" s="1"/>
      <c r="O3521" s="2"/>
      <c r="P3521" s="2"/>
    </row>
    <row r="3522" spans="1:16" x14ac:dyDescent="0.25">
      <c r="A3522" s="2"/>
      <c r="B3522" s="2"/>
      <c r="F3522" s="1"/>
      <c r="G3522" s="1"/>
      <c r="I3522" s="1"/>
      <c r="J3522" s="1"/>
      <c r="L3522" s="1"/>
      <c r="M3522" s="1"/>
      <c r="O3522" s="2"/>
      <c r="P3522" s="2"/>
    </row>
    <row r="3523" spans="1:16" x14ac:dyDescent="0.25">
      <c r="A3523" s="2"/>
      <c r="B3523" s="2"/>
      <c r="F3523" s="1"/>
      <c r="G3523" s="1"/>
      <c r="I3523" s="1"/>
      <c r="J3523" s="1"/>
      <c r="L3523" s="1"/>
      <c r="M3523" s="1"/>
      <c r="O3523" s="2"/>
      <c r="P3523" s="2"/>
    </row>
    <row r="3524" spans="1:16" x14ac:dyDescent="0.25">
      <c r="A3524" s="2"/>
      <c r="B3524" s="2"/>
      <c r="F3524" s="1"/>
      <c r="G3524" s="1"/>
      <c r="I3524" s="1"/>
      <c r="J3524" s="1"/>
      <c r="L3524" s="1"/>
      <c r="M3524" s="1"/>
      <c r="O3524" s="2"/>
      <c r="P3524" s="2"/>
    </row>
    <row r="3525" spans="1:16" x14ac:dyDescent="0.25">
      <c r="A3525" s="2"/>
      <c r="B3525" s="2"/>
      <c r="F3525" s="1"/>
      <c r="G3525" s="1"/>
      <c r="I3525" s="1"/>
      <c r="J3525" s="1"/>
      <c r="L3525" s="1"/>
      <c r="M3525" s="1"/>
      <c r="O3525" s="2"/>
      <c r="P3525" s="2"/>
    </row>
    <row r="3526" spans="1:16" x14ac:dyDescent="0.25">
      <c r="A3526" s="2"/>
      <c r="B3526" s="2"/>
      <c r="F3526" s="1"/>
      <c r="G3526" s="1"/>
      <c r="I3526" s="1"/>
      <c r="J3526" s="1"/>
      <c r="L3526" s="1"/>
      <c r="M3526" s="1"/>
      <c r="O3526" s="2"/>
      <c r="P3526" s="2"/>
    </row>
    <row r="3527" spans="1:16" x14ac:dyDescent="0.25">
      <c r="A3527" s="2"/>
      <c r="B3527" s="2"/>
      <c r="F3527" s="1"/>
      <c r="G3527" s="1"/>
      <c r="I3527" s="1"/>
      <c r="J3527" s="1"/>
      <c r="L3527" s="1"/>
      <c r="M3527" s="1"/>
      <c r="O3527" s="2"/>
      <c r="P3527" s="2"/>
    </row>
    <row r="3528" spans="1:16" x14ac:dyDescent="0.25">
      <c r="A3528" s="2"/>
      <c r="B3528" s="2"/>
      <c r="F3528" s="1"/>
      <c r="G3528" s="1"/>
      <c r="I3528" s="1"/>
      <c r="J3528" s="1"/>
      <c r="L3528" s="1"/>
      <c r="M3528" s="1"/>
      <c r="O3528" s="2"/>
      <c r="P3528" s="2"/>
    </row>
    <row r="3529" spans="1:16" x14ac:dyDescent="0.25">
      <c r="A3529" s="2"/>
      <c r="B3529" s="2"/>
      <c r="F3529" s="1"/>
      <c r="G3529" s="1"/>
      <c r="I3529" s="1"/>
      <c r="J3529" s="1"/>
      <c r="L3529" s="1"/>
      <c r="M3529" s="1"/>
      <c r="O3529" s="2"/>
      <c r="P3529" s="2"/>
    </row>
    <row r="3530" spans="1:16" x14ac:dyDescent="0.25">
      <c r="A3530" s="2"/>
      <c r="B3530" s="2"/>
      <c r="F3530" s="1"/>
      <c r="G3530" s="1"/>
      <c r="I3530" s="1"/>
      <c r="J3530" s="1"/>
      <c r="L3530" s="1"/>
      <c r="M3530" s="1"/>
      <c r="O3530" s="2"/>
      <c r="P3530" s="2"/>
    </row>
    <row r="3531" spans="1:16" x14ac:dyDescent="0.25">
      <c r="A3531" s="2"/>
      <c r="B3531" s="2"/>
      <c r="F3531" s="1"/>
      <c r="G3531" s="1"/>
      <c r="I3531" s="1"/>
      <c r="J3531" s="1"/>
      <c r="L3531" s="1"/>
      <c r="M3531" s="1"/>
      <c r="O3531" s="2"/>
      <c r="P3531" s="2"/>
    </row>
    <row r="3532" spans="1:16" x14ac:dyDescent="0.25">
      <c r="A3532" s="2"/>
      <c r="B3532" s="2"/>
      <c r="F3532" s="1"/>
      <c r="G3532" s="1"/>
      <c r="I3532" s="1"/>
      <c r="J3532" s="1"/>
      <c r="L3532" s="1"/>
      <c r="M3532" s="1"/>
      <c r="O3532" s="2"/>
      <c r="P3532" s="2"/>
    </row>
    <row r="3533" spans="1:16" x14ac:dyDescent="0.25">
      <c r="A3533" s="2"/>
      <c r="B3533" s="2"/>
      <c r="F3533" s="1"/>
      <c r="G3533" s="1"/>
      <c r="I3533" s="1"/>
      <c r="J3533" s="1"/>
      <c r="L3533" s="1"/>
      <c r="M3533" s="1"/>
      <c r="O3533" s="2"/>
      <c r="P3533" s="2"/>
    </row>
    <row r="3534" spans="1:16" x14ac:dyDescent="0.25">
      <c r="A3534" s="2"/>
      <c r="B3534" s="2"/>
      <c r="F3534" s="1"/>
      <c r="G3534" s="1"/>
      <c r="I3534" s="1"/>
      <c r="J3534" s="1"/>
      <c r="L3534" s="1"/>
      <c r="M3534" s="1"/>
      <c r="O3534" s="2"/>
      <c r="P3534" s="2"/>
    </row>
    <row r="3535" spans="1:16" x14ac:dyDescent="0.25">
      <c r="A3535" s="2"/>
      <c r="B3535" s="2"/>
      <c r="F3535" s="1"/>
      <c r="G3535" s="1"/>
      <c r="I3535" s="1"/>
      <c r="J3535" s="1"/>
      <c r="L3535" s="1"/>
      <c r="M3535" s="1"/>
      <c r="O3535" s="2"/>
      <c r="P3535" s="2"/>
    </row>
    <row r="3536" spans="1:16" x14ac:dyDescent="0.25">
      <c r="A3536" s="2"/>
      <c r="B3536" s="2"/>
      <c r="F3536" s="1"/>
      <c r="G3536" s="1"/>
      <c r="I3536" s="1"/>
      <c r="J3536" s="1"/>
      <c r="L3536" s="1"/>
      <c r="M3536" s="1"/>
      <c r="O3536" s="2"/>
      <c r="P3536" s="2"/>
    </row>
    <row r="3537" spans="1:16" x14ac:dyDescent="0.25">
      <c r="A3537" s="2"/>
      <c r="B3537" s="2"/>
      <c r="F3537" s="1"/>
      <c r="G3537" s="1"/>
      <c r="I3537" s="1"/>
      <c r="J3537" s="1"/>
      <c r="L3537" s="1"/>
      <c r="M3537" s="1"/>
      <c r="O3537" s="2"/>
      <c r="P3537" s="2"/>
    </row>
    <row r="3538" spans="1:16" x14ac:dyDescent="0.25">
      <c r="A3538" s="2"/>
      <c r="B3538" s="2"/>
      <c r="F3538" s="1"/>
      <c r="G3538" s="1"/>
      <c r="I3538" s="1"/>
      <c r="J3538" s="1"/>
      <c r="L3538" s="1"/>
      <c r="M3538" s="1"/>
      <c r="O3538" s="2"/>
      <c r="P3538" s="2"/>
    </row>
    <row r="3539" spans="1:16" x14ac:dyDescent="0.25">
      <c r="A3539" s="2"/>
      <c r="B3539" s="2"/>
      <c r="F3539" s="1"/>
      <c r="G3539" s="1"/>
      <c r="I3539" s="1"/>
      <c r="J3539" s="1"/>
      <c r="L3539" s="1"/>
      <c r="M3539" s="1"/>
      <c r="O3539" s="2"/>
      <c r="P3539" s="2"/>
    </row>
    <row r="3540" spans="1:16" x14ac:dyDescent="0.25">
      <c r="A3540" s="2"/>
      <c r="B3540" s="2"/>
      <c r="F3540" s="1"/>
      <c r="G3540" s="1"/>
      <c r="I3540" s="1"/>
      <c r="J3540" s="1"/>
      <c r="L3540" s="1"/>
      <c r="M3540" s="1"/>
      <c r="O3540" s="2"/>
      <c r="P3540" s="2"/>
    </row>
    <row r="3541" spans="1:16" x14ac:dyDescent="0.25">
      <c r="A3541" s="2"/>
      <c r="B3541" s="2"/>
      <c r="F3541" s="1"/>
      <c r="G3541" s="1"/>
      <c r="I3541" s="1"/>
      <c r="J3541" s="1"/>
      <c r="L3541" s="1"/>
      <c r="M3541" s="1"/>
      <c r="O3541" s="2"/>
      <c r="P3541" s="2"/>
    </row>
    <row r="3542" spans="1:16" x14ac:dyDescent="0.25">
      <c r="A3542" s="2"/>
      <c r="B3542" s="2"/>
      <c r="F3542" s="1"/>
      <c r="G3542" s="1"/>
      <c r="I3542" s="1"/>
      <c r="J3542" s="1"/>
      <c r="L3542" s="1"/>
      <c r="M3542" s="1"/>
      <c r="O3542" s="2"/>
      <c r="P3542" s="2"/>
    </row>
    <row r="3543" spans="1:16" x14ac:dyDescent="0.25">
      <c r="A3543" s="2"/>
      <c r="B3543" s="2"/>
      <c r="F3543" s="1"/>
      <c r="G3543" s="1"/>
      <c r="I3543" s="1"/>
      <c r="J3543" s="1"/>
      <c r="L3543" s="1"/>
      <c r="M3543" s="1"/>
      <c r="O3543" s="2"/>
      <c r="P3543" s="2"/>
    </row>
    <row r="3544" spans="1:16" x14ac:dyDescent="0.25">
      <c r="A3544" s="2"/>
      <c r="B3544" s="2"/>
      <c r="F3544" s="1"/>
      <c r="G3544" s="1"/>
      <c r="I3544" s="1"/>
      <c r="J3544" s="1"/>
      <c r="L3544" s="1"/>
      <c r="M3544" s="1"/>
      <c r="O3544" s="2"/>
      <c r="P3544" s="2"/>
    </row>
    <row r="3545" spans="1:16" x14ac:dyDescent="0.25">
      <c r="A3545" s="2"/>
      <c r="B3545" s="2"/>
      <c r="F3545" s="1"/>
      <c r="G3545" s="1"/>
      <c r="I3545" s="1"/>
      <c r="J3545" s="1"/>
      <c r="L3545" s="1"/>
      <c r="M3545" s="1"/>
      <c r="O3545" s="2"/>
      <c r="P3545" s="2"/>
    </row>
    <row r="3546" spans="1:16" x14ac:dyDescent="0.25">
      <c r="A3546" s="2"/>
      <c r="B3546" s="2"/>
      <c r="F3546" s="1"/>
      <c r="G3546" s="1"/>
      <c r="I3546" s="1"/>
      <c r="J3546" s="1"/>
      <c r="L3546" s="1"/>
      <c r="M3546" s="1"/>
      <c r="O3546" s="2"/>
      <c r="P3546" s="2"/>
    </row>
    <row r="3547" spans="1:16" x14ac:dyDescent="0.25">
      <c r="A3547" s="2"/>
      <c r="B3547" s="2"/>
      <c r="F3547" s="1"/>
      <c r="G3547" s="1"/>
      <c r="I3547" s="1"/>
      <c r="J3547" s="1"/>
      <c r="L3547" s="1"/>
      <c r="M3547" s="1"/>
      <c r="O3547" s="2"/>
      <c r="P3547" s="2"/>
    </row>
    <row r="3548" spans="1:16" x14ac:dyDescent="0.25">
      <c r="A3548" s="2"/>
      <c r="B3548" s="2"/>
      <c r="F3548" s="1"/>
      <c r="G3548" s="1"/>
      <c r="I3548" s="1"/>
      <c r="J3548" s="1"/>
      <c r="L3548" s="1"/>
      <c r="M3548" s="1"/>
      <c r="O3548" s="2"/>
      <c r="P3548" s="2"/>
    </row>
    <row r="3549" spans="1:16" x14ac:dyDescent="0.25">
      <c r="A3549" s="2"/>
      <c r="B3549" s="2"/>
      <c r="F3549" s="1"/>
      <c r="G3549" s="1"/>
      <c r="I3549" s="1"/>
      <c r="J3549" s="1"/>
      <c r="L3549" s="1"/>
      <c r="M3549" s="1"/>
      <c r="O3549" s="2"/>
      <c r="P3549" s="2"/>
    </row>
    <row r="3550" spans="1:16" x14ac:dyDescent="0.25">
      <c r="A3550" s="2"/>
      <c r="B3550" s="2"/>
      <c r="F3550" s="1"/>
      <c r="G3550" s="1"/>
      <c r="I3550" s="1"/>
      <c r="J3550" s="1"/>
      <c r="L3550" s="1"/>
      <c r="M3550" s="1"/>
      <c r="O3550" s="2"/>
      <c r="P3550" s="2"/>
    </row>
    <row r="3551" spans="1:16" x14ac:dyDescent="0.25">
      <c r="A3551" s="2"/>
      <c r="B3551" s="2"/>
      <c r="F3551" s="1"/>
      <c r="G3551" s="1"/>
      <c r="I3551" s="1"/>
      <c r="J3551" s="1"/>
      <c r="L3551" s="1"/>
      <c r="M3551" s="1"/>
      <c r="O3551" s="2"/>
      <c r="P3551" s="2"/>
    </row>
    <row r="3552" spans="1:16" x14ac:dyDescent="0.25">
      <c r="A3552" s="2"/>
      <c r="B3552" s="2"/>
      <c r="F3552" s="1"/>
      <c r="G3552" s="1"/>
      <c r="I3552" s="1"/>
      <c r="J3552" s="1"/>
      <c r="L3552" s="1"/>
      <c r="M3552" s="1"/>
      <c r="O3552" s="2"/>
      <c r="P3552" s="2"/>
    </row>
    <row r="3553" spans="1:16" x14ac:dyDescent="0.25">
      <c r="A3553" s="2"/>
      <c r="B3553" s="2"/>
      <c r="F3553" s="1"/>
      <c r="G3553" s="1"/>
      <c r="I3553" s="1"/>
      <c r="J3553" s="1"/>
      <c r="L3553" s="1"/>
      <c r="M3553" s="1"/>
      <c r="O3553" s="2"/>
      <c r="P3553" s="2"/>
    </row>
    <row r="3554" spans="1:16" x14ac:dyDescent="0.25">
      <c r="A3554" s="2"/>
      <c r="B3554" s="2"/>
      <c r="F3554" s="1"/>
      <c r="G3554" s="1"/>
      <c r="I3554" s="1"/>
      <c r="J3554" s="1"/>
      <c r="L3554" s="1"/>
      <c r="M3554" s="1"/>
      <c r="O3554" s="2"/>
      <c r="P3554" s="2"/>
    </row>
    <row r="3555" spans="1:16" x14ac:dyDescent="0.25">
      <c r="A3555" s="2"/>
      <c r="B3555" s="2"/>
      <c r="F3555" s="1"/>
      <c r="G3555" s="1"/>
      <c r="I3555" s="1"/>
      <c r="J3555" s="1"/>
      <c r="L3555" s="1"/>
      <c r="M3555" s="1"/>
      <c r="O3555" s="2"/>
      <c r="P3555" s="2"/>
    </row>
    <row r="3556" spans="1:16" x14ac:dyDescent="0.25">
      <c r="A3556" s="2"/>
      <c r="B3556" s="2"/>
      <c r="F3556" s="1"/>
      <c r="G3556" s="1"/>
      <c r="I3556" s="1"/>
      <c r="J3556" s="1"/>
      <c r="L3556" s="1"/>
      <c r="M3556" s="1"/>
      <c r="O3556" s="2"/>
      <c r="P3556" s="2"/>
    </row>
    <row r="3557" spans="1:16" x14ac:dyDescent="0.25">
      <c r="A3557" s="2"/>
      <c r="B3557" s="2"/>
      <c r="F3557" s="1"/>
      <c r="G3557" s="1"/>
      <c r="I3557" s="1"/>
      <c r="J3557" s="1"/>
      <c r="L3557" s="1"/>
      <c r="M3557" s="1"/>
      <c r="O3557" s="2"/>
      <c r="P3557" s="2"/>
    </row>
    <row r="3558" spans="1:16" x14ac:dyDescent="0.25">
      <c r="A3558" s="2"/>
      <c r="B3558" s="2"/>
      <c r="F3558" s="1"/>
      <c r="G3558" s="1"/>
      <c r="I3558" s="1"/>
      <c r="J3558" s="1"/>
      <c r="L3558" s="1"/>
      <c r="M3558" s="1"/>
      <c r="O3558" s="2"/>
      <c r="P3558" s="2"/>
    </row>
    <row r="3559" spans="1:16" x14ac:dyDescent="0.25">
      <c r="A3559" s="2"/>
      <c r="B3559" s="2"/>
      <c r="F3559" s="1"/>
      <c r="G3559" s="1"/>
      <c r="I3559" s="1"/>
      <c r="J3559" s="1"/>
      <c r="L3559" s="1"/>
      <c r="M3559" s="1"/>
      <c r="O3559" s="2"/>
      <c r="P3559" s="2"/>
    </row>
    <row r="3560" spans="1:16" x14ac:dyDescent="0.25">
      <c r="A3560" s="2"/>
      <c r="B3560" s="2"/>
      <c r="F3560" s="1"/>
      <c r="G3560" s="1"/>
      <c r="I3560" s="1"/>
      <c r="J3560" s="1"/>
      <c r="L3560" s="1"/>
      <c r="M3560" s="1"/>
      <c r="O3560" s="2"/>
      <c r="P3560" s="2"/>
    </row>
    <row r="3561" spans="1:16" x14ac:dyDescent="0.25">
      <c r="A3561" s="2"/>
      <c r="B3561" s="2"/>
      <c r="F3561" s="1"/>
      <c r="G3561" s="1"/>
      <c r="I3561" s="1"/>
      <c r="J3561" s="1"/>
      <c r="L3561" s="1"/>
      <c r="M3561" s="1"/>
      <c r="O3561" s="2"/>
      <c r="P3561" s="2"/>
    </row>
    <row r="3562" spans="1:16" x14ac:dyDescent="0.25">
      <c r="A3562" s="2"/>
      <c r="B3562" s="2"/>
      <c r="F3562" s="1"/>
      <c r="G3562" s="1"/>
      <c r="I3562" s="1"/>
      <c r="J3562" s="1"/>
      <c r="L3562" s="1"/>
      <c r="M3562" s="1"/>
      <c r="O3562" s="2"/>
      <c r="P3562" s="2"/>
    </row>
    <row r="3563" spans="1:16" x14ac:dyDescent="0.25">
      <c r="A3563" s="2"/>
      <c r="B3563" s="2"/>
      <c r="F3563" s="1"/>
      <c r="G3563" s="1"/>
      <c r="I3563" s="1"/>
      <c r="J3563" s="1"/>
      <c r="L3563" s="1"/>
      <c r="M3563" s="1"/>
      <c r="O3563" s="2"/>
      <c r="P3563" s="2"/>
    </row>
    <row r="3564" spans="1:16" x14ac:dyDescent="0.25">
      <c r="A3564" s="2"/>
      <c r="B3564" s="2"/>
      <c r="F3564" s="1"/>
      <c r="G3564" s="1"/>
      <c r="I3564" s="1"/>
      <c r="J3564" s="1"/>
      <c r="L3564" s="1"/>
      <c r="M3564" s="1"/>
      <c r="O3564" s="2"/>
      <c r="P3564" s="2"/>
    </row>
    <row r="3565" spans="1:16" x14ac:dyDescent="0.25">
      <c r="A3565" s="2"/>
      <c r="B3565" s="2"/>
      <c r="F3565" s="1"/>
      <c r="G3565" s="1"/>
      <c r="I3565" s="1"/>
      <c r="J3565" s="1"/>
      <c r="L3565" s="1"/>
      <c r="M3565" s="1"/>
      <c r="O3565" s="2"/>
      <c r="P3565" s="2"/>
    </row>
    <row r="3566" spans="1:16" x14ac:dyDescent="0.25">
      <c r="A3566" s="2"/>
      <c r="B3566" s="2"/>
      <c r="F3566" s="1"/>
      <c r="G3566" s="1"/>
      <c r="I3566" s="1"/>
      <c r="J3566" s="1"/>
      <c r="L3566" s="1"/>
      <c r="M3566" s="1"/>
      <c r="O3566" s="2"/>
      <c r="P3566" s="2"/>
    </row>
    <row r="3567" spans="1:16" x14ac:dyDescent="0.25">
      <c r="A3567" s="2"/>
      <c r="B3567" s="2"/>
      <c r="F3567" s="1"/>
      <c r="G3567" s="1"/>
      <c r="I3567" s="1"/>
      <c r="J3567" s="1"/>
      <c r="L3567" s="1"/>
      <c r="M3567" s="1"/>
      <c r="O3567" s="2"/>
      <c r="P3567" s="2"/>
    </row>
    <row r="3568" spans="1:16" x14ac:dyDescent="0.25">
      <c r="A3568" s="2"/>
      <c r="B3568" s="2"/>
      <c r="F3568" s="1"/>
      <c r="G3568" s="1"/>
      <c r="I3568" s="1"/>
      <c r="J3568" s="1"/>
      <c r="L3568" s="1"/>
      <c r="M3568" s="1"/>
      <c r="O3568" s="2"/>
      <c r="P3568" s="2"/>
    </row>
    <row r="3569" spans="1:16" x14ac:dyDescent="0.25">
      <c r="A3569" s="2"/>
      <c r="B3569" s="2"/>
      <c r="F3569" s="1"/>
      <c r="G3569" s="1"/>
      <c r="I3569" s="1"/>
      <c r="J3569" s="1"/>
      <c r="L3569" s="1"/>
      <c r="M3569" s="1"/>
      <c r="O3569" s="2"/>
      <c r="P3569" s="2"/>
    </row>
    <row r="3570" spans="1:16" x14ac:dyDescent="0.25">
      <c r="A3570" s="2"/>
      <c r="B3570" s="2"/>
      <c r="F3570" s="1"/>
      <c r="G3570" s="1"/>
      <c r="I3570" s="1"/>
      <c r="J3570" s="1"/>
      <c r="L3570" s="1"/>
      <c r="M3570" s="1"/>
      <c r="O3570" s="2"/>
      <c r="P3570" s="2"/>
    </row>
    <row r="3571" spans="1:16" x14ac:dyDescent="0.25">
      <c r="A3571" s="2"/>
      <c r="B3571" s="2"/>
      <c r="F3571" s="1"/>
      <c r="G3571" s="1"/>
      <c r="I3571" s="1"/>
      <c r="J3571" s="1"/>
      <c r="L3571" s="1"/>
      <c r="M3571" s="1"/>
      <c r="O3571" s="2"/>
      <c r="P3571" s="2"/>
    </row>
    <row r="3572" spans="1:16" x14ac:dyDescent="0.25">
      <c r="A3572" s="2"/>
      <c r="B3572" s="2"/>
      <c r="F3572" s="1"/>
      <c r="G3572" s="1"/>
      <c r="I3572" s="1"/>
      <c r="J3572" s="1"/>
      <c r="L3572" s="1"/>
      <c r="M3572" s="1"/>
      <c r="O3572" s="2"/>
      <c r="P3572" s="2"/>
    </row>
    <row r="3573" spans="1:16" x14ac:dyDescent="0.25">
      <c r="A3573" s="2"/>
      <c r="B3573" s="2"/>
      <c r="F3573" s="1"/>
      <c r="G3573" s="1"/>
      <c r="I3573" s="1"/>
      <c r="J3573" s="1"/>
      <c r="L3573" s="1"/>
      <c r="M3573" s="1"/>
      <c r="O3573" s="2"/>
      <c r="P3573" s="2"/>
    </row>
    <row r="3574" spans="1:16" x14ac:dyDescent="0.25">
      <c r="A3574" s="2"/>
      <c r="B3574" s="2"/>
      <c r="F3574" s="1"/>
      <c r="G3574" s="1"/>
      <c r="I3574" s="1"/>
      <c r="J3574" s="1"/>
      <c r="L3574" s="1"/>
      <c r="M3574" s="1"/>
      <c r="O3574" s="2"/>
      <c r="P3574" s="2"/>
    </row>
    <row r="3575" spans="1:16" x14ac:dyDescent="0.25">
      <c r="A3575" s="2"/>
      <c r="B3575" s="2"/>
      <c r="F3575" s="1"/>
      <c r="G3575" s="1"/>
      <c r="I3575" s="1"/>
      <c r="J3575" s="1"/>
      <c r="L3575" s="1"/>
      <c r="M3575" s="1"/>
      <c r="O3575" s="2"/>
      <c r="P3575" s="2"/>
    </row>
    <row r="3576" spans="1:16" x14ac:dyDescent="0.25">
      <c r="A3576" s="2"/>
      <c r="B3576" s="2"/>
      <c r="F3576" s="1"/>
      <c r="G3576" s="1"/>
      <c r="I3576" s="1"/>
      <c r="J3576" s="1"/>
      <c r="L3576" s="1"/>
      <c r="M3576" s="1"/>
      <c r="O3576" s="2"/>
      <c r="P3576" s="2"/>
    </row>
    <row r="3577" spans="1:16" x14ac:dyDescent="0.25">
      <c r="A3577" s="2"/>
      <c r="B3577" s="2"/>
      <c r="F3577" s="1"/>
      <c r="G3577" s="1"/>
      <c r="I3577" s="1"/>
      <c r="J3577" s="1"/>
      <c r="L3577" s="1"/>
      <c r="M3577" s="1"/>
      <c r="O3577" s="2"/>
      <c r="P3577" s="2"/>
    </row>
    <row r="3578" spans="1:16" x14ac:dyDescent="0.25">
      <c r="A3578" s="2"/>
      <c r="B3578" s="2"/>
      <c r="F3578" s="1"/>
      <c r="G3578" s="1"/>
      <c r="I3578" s="1"/>
      <c r="J3578" s="1"/>
      <c r="L3578" s="1"/>
      <c r="M3578" s="1"/>
      <c r="O3578" s="2"/>
      <c r="P3578" s="2"/>
    </row>
    <row r="3579" spans="1:16" x14ac:dyDescent="0.25">
      <c r="A3579" s="2"/>
      <c r="B3579" s="2"/>
      <c r="F3579" s="1"/>
      <c r="G3579" s="1"/>
      <c r="I3579" s="1"/>
      <c r="J3579" s="1"/>
      <c r="L3579" s="1"/>
      <c r="M3579" s="1"/>
      <c r="O3579" s="2"/>
      <c r="P3579" s="2"/>
    </row>
    <row r="3580" spans="1:16" x14ac:dyDescent="0.25">
      <c r="A3580" s="2"/>
      <c r="B3580" s="2"/>
      <c r="F3580" s="1"/>
      <c r="G3580" s="1"/>
      <c r="I3580" s="1"/>
      <c r="J3580" s="1"/>
      <c r="L3580" s="1"/>
      <c r="M3580" s="1"/>
      <c r="O3580" s="2"/>
      <c r="P3580" s="2"/>
    </row>
    <row r="3581" spans="1:16" x14ac:dyDescent="0.25">
      <c r="A3581" s="2"/>
      <c r="B3581" s="2"/>
      <c r="F3581" s="1"/>
      <c r="G3581" s="1"/>
      <c r="I3581" s="1"/>
      <c r="J3581" s="1"/>
      <c r="L3581" s="1"/>
      <c r="M3581" s="1"/>
      <c r="O3581" s="2"/>
      <c r="P3581" s="2"/>
    </row>
    <row r="3582" spans="1:16" x14ac:dyDescent="0.25">
      <c r="A3582" s="2"/>
      <c r="B3582" s="2"/>
      <c r="F3582" s="1"/>
      <c r="G3582" s="1"/>
      <c r="I3582" s="1"/>
      <c r="J3582" s="1"/>
      <c r="L3582" s="1"/>
      <c r="M3582" s="1"/>
      <c r="O3582" s="2"/>
      <c r="P3582" s="2"/>
    </row>
    <row r="3583" spans="1:16" x14ac:dyDescent="0.25">
      <c r="A3583" s="2"/>
      <c r="B3583" s="2"/>
      <c r="F3583" s="1"/>
      <c r="G3583" s="1"/>
      <c r="I3583" s="1"/>
      <c r="J3583" s="1"/>
      <c r="L3583" s="1"/>
      <c r="M3583" s="1"/>
      <c r="O3583" s="2"/>
      <c r="P3583" s="2"/>
    </row>
    <row r="3584" spans="1:16" x14ac:dyDescent="0.25">
      <c r="A3584" s="2"/>
      <c r="B3584" s="2"/>
      <c r="F3584" s="1"/>
      <c r="G3584" s="1"/>
      <c r="I3584" s="1"/>
      <c r="J3584" s="1"/>
      <c r="L3584" s="1"/>
      <c r="M3584" s="1"/>
      <c r="O3584" s="2"/>
      <c r="P3584" s="2"/>
    </row>
    <row r="3585" spans="1:16" x14ac:dyDescent="0.25">
      <c r="A3585" s="2"/>
      <c r="B3585" s="2"/>
      <c r="F3585" s="1"/>
      <c r="G3585" s="1"/>
      <c r="I3585" s="1"/>
      <c r="J3585" s="1"/>
      <c r="L3585" s="1"/>
      <c r="M3585" s="1"/>
      <c r="O3585" s="2"/>
      <c r="P3585" s="2"/>
    </row>
    <row r="3586" spans="1:16" x14ac:dyDescent="0.25">
      <c r="A3586" s="2"/>
      <c r="B3586" s="2"/>
      <c r="F3586" s="1"/>
      <c r="G3586" s="1"/>
      <c r="I3586" s="1"/>
      <c r="J3586" s="1"/>
      <c r="L3586" s="1"/>
      <c r="M3586" s="1"/>
      <c r="O3586" s="2"/>
      <c r="P3586" s="2"/>
    </row>
    <row r="3587" spans="1:16" x14ac:dyDescent="0.25">
      <c r="A3587" s="2"/>
      <c r="B3587" s="2"/>
      <c r="F3587" s="1"/>
      <c r="G3587" s="1"/>
      <c r="I3587" s="1"/>
      <c r="J3587" s="1"/>
      <c r="L3587" s="1"/>
      <c r="M3587" s="1"/>
      <c r="O3587" s="2"/>
      <c r="P3587" s="2"/>
    </row>
    <row r="3588" spans="1:16" x14ac:dyDescent="0.25">
      <c r="A3588" s="2"/>
      <c r="B3588" s="2"/>
      <c r="F3588" s="1"/>
      <c r="G3588" s="1"/>
      <c r="I3588" s="1"/>
      <c r="J3588" s="1"/>
      <c r="L3588" s="1"/>
      <c r="M3588" s="1"/>
      <c r="O3588" s="2"/>
      <c r="P3588" s="2"/>
    </row>
    <row r="3589" spans="1:16" x14ac:dyDescent="0.25">
      <c r="A3589" s="2"/>
      <c r="B3589" s="2"/>
      <c r="F3589" s="1"/>
      <c r="G3589" s="1"/>
      <c r="I3589" s="1"/>
      <c r="J3589" s="1"/>
      <c r="L3589" s="1"/>
      <c r="M3589" s="1"/>
      <c r="O3589" s="2"/>
      <c r="P3589" s="2"/>
    </row>
    <row r="3590" spans="1:16" x14ac:dyDescent="0.25">
      <c r="A3590" s="2"/>
      <c r="B3590" s="2"/>
      <c r="F3590" s="1"/>
      <c r="G3590" s="1"/>
      <c r="I3590" s="1"/>
      <c r="J3590" s="1"/>
      <c r="L3590" s="1"/>
      <c r="M3590" s="1"/>
      <c r="O3590" s="2"/>
      <c r="P3590" s="2"/>
    </row>
    <row r="3591" spans="1:16" x14ac:dyDescent="0.25">
      <c r="A3591" s="2"/>
      <c r="B3591" s="2"/>
      <c r="F3591" s="1"/>
      <c r="G3591" s="1"/>
      <c r="I3591" s="1"/>
      <c r="J3591" s="1"/>
      <c r="L3591" s="1"/>
      <c r="M3591" s="1"/>
      <c r="O3591" s="2"/>
      <c r="P3591" s="2"/>
    </row>
    <row r="3592" spans="1:16" x14ac:dyDescent="0.25">
      <c r="A3592" s="2"/>
      <c r="B3592" s="2"/>
      <c r="F3592" s="1"/>
      <c r="G3592" s="1"/>
      <c r="I3592" s="1"/>
      <c r="J3592" s="1"/>
      <c r="L3592" s="1"/>
      <c r="M3592" s="1"/>
      <c r="O3592" s="2"/>
      <c r="P3592" s="2"/>
    </row>
    <row r="3593" spans="1:16" x14ac:dyDescent="0.25">
      <c r="A3593" s="2"/>
      <c r="B3593" s="2"/>
      <c r="F3593" s="1"/>
      <c r="G3593" s="1"/>
      <c r="I3593" s="1"/>
      <c r="J3593" s="1"/>
      <c r="L3593" s="1"/>
      <c r="M3593" s="1"/>
      <c r="O3593" s="2"/>
      <c r="P3593" s="2"/>
    </row>
    <row r="3594" spans="1:16" x14ac:dyDescent="0.25">
      <c r="A3594" s="2"/>
      <c r="B3594" s="2"/>
      <c r="F3594" s="1"/>
      <c r="G3594" s="1"/>
      <c r="I3594" s="1"/>
      <c r="J3594" s="1"/>
      <c r="L3594" s="1"/>
      <c r="M3594" s="1"/>
      <c r="O3594" s="2"/>
      <c r="P3594" s="2"/>
    </row>
    <row r="3595" spans="1:16" x14ac:dyDescent="0.25">
      <c r="A3595" s="2"/>
      <c r="B3595" s="2"/>
      <c r="F3595" s="1"/>
      <c r="G3595" s="1"/>
      <c r="I3595" s="1"/>
      <c r="J3595" s="1"/>
      <c r="L3595" s="1"/>
      <c r="M3595" s="1"/>
      <c r="O3595" s="2"/>
      <c r="P3595" s="2"/>
    </row>
    <row r="3596" spans="1:16" x14ac:dyDescent="0.25">
      <c r="A3596" s="2"/>
      <c r="B3596" s="2"/>
      <c r="F3596" s="1"/>
      <c r="G3596" s="1"/>
      <c r="I3596" s="1"/>
      <c r="J3596" s="1"/>
      <c r="L3596" s="1"/>
      <c r="M3596" s="1"/>
      <c r="O3596" s="2"/>
      <c r="P3596" s="2"/>
    </row>
    <row r="3597" spans="1:16" x14ac:dyDescent="0.25">
      <c r="A3597" s="2"/>
      <c r="B3597" s="2"/>
      <c r="F3597" s="1"/>
      <c r="G3597" s="1"/>
      <c r="I3597" s="1"/>
      <c r="J3597" s="1"/>
      <c r="L3597" s="1"/>
      <c r="M3597" s="1"/>
      <c r="O3597" s="2"/>
      <c r="P3597" s="2"/>
    </row>
    <row r="3598" spans="1:16" x14ac:dyDescent="0.25">
      <c r="A3598" s="2"/>
      <c r="B3598" s="2"/>
      <c r="F3598" s="1"/>
      <c r="G3598" s="1"/>
      <c r="I3598" s="1"/>
      <c r="J3598" s="1"/>
      <c r="L3598" s="1"/>
      <c r="M3598" s="1"/>
      <c r="O3598" s="2"/>
      <c r="P3598" s="2"/>
    </row>
    <row r="3599" spans="1:16" x14ac:dyDescent="0.25">
      <c r="A3599" s="2"/>
      <c r="B3599" s="2"/>
      <c r="F3599" s="1"/>
      <c r="G3599" s="1"/>
      <c r="I3599" s="1"/>
      <c r="J3599" s="1"/>
      <c r="L3599" s="1"/>
      <c r="M3599" s="1"/>
      <c r="O3599" s="2"/>
      <c r="P3599" s="2"/>
    </row>
    <row r="3600" spans="1:16" x14ac:dyDescent="0.25">
      <c r="A3600" s="2"/>
      <c r="B3600" s="2"/>
      <c r="F3600" s="1"/>
      <c r="G3600" s="1"/>
      <c r="I3600" s="1"/>
      <c r="J3600" s="1"/>
      <c r="L3600" s="1"/>
      <c r="M3600" s="1"/>
      <c r="O3600" s="2"/>
      <c r="P3600" s="2"/>
    </row>
    <row r="3601" spans="1:16" x14ac:dyDescent="0.25">
      <c r="A3601" s="2"/>
      <c r="B3601" s="2"/>
      <c r="F3601" s="1"/>
      <c r="G3601" s="1"/>
      <c r="I3601" s="1"/>
      <c r="J3601" s="1"/>
      <c r="L3601" s="1"/>
      <c r="M3601" s="1"/>
      <c r="O3601" s="2"/>
      <c r="P3601" s="2"/>
    </row>
    <row r="3602" spans="1:16" x14ac:dyDescent="0.25">
      <c r="A3602" s="2"/>
      <c r="B3602" s="2"/>
      <c r="F3602" s="1"/>
      <c r="G3602" s="1"/>
      <c r="I3602" s="1"/>
      <c r="J3602" s="1"/>
      <c r="L3602" s="1"/>
      <c r="M3602" s="1"/>
      <c r="O3602" s="2"/>
      <c r="P3602" s="2"/>
    </row>
    <row r="3603" spans="1:16" x14ac:dyDescent="0.25">
      <c r="A3603" s="2"/>
      <c r="B3603" s="2"/>
      <c r="F3603" s="1"/>
      <c r="G3603" s="1"/>
      <c r="I3603" s="1"/>
      <c r="J3603" s="1"/>
      <c r="L3603" s="1"/>
      <c r="M3603" s="1"/>
      <c r="O3603" s="2"/>
      <c r="P3603" s="2"/>
    </row>
    <row r="3604" spans="1:16" x14ac:dyDescent="0.25">
      <c r="A3604" s="2"/>
      <c r="B3604" s="2"/>
      <c r="F3604" s="1"/>
      <c r="G3604" s="1"/>
      <c r="I3604" s="1"/>
      <c r="J3604" s="1"/>
      <c r="L3604" s="1"/>
      <c r="M3604" s="1"/>
      <c r="O3604" s="2"/>
      <c r="P3604" s="2"/>
    </row>
    <row r="3605" spans="1:16" x14ac:dyDescent="0.25">
      <c r="A3605" s="2"/>
      <c r="B3605" s="2"/>
      <c r="F3605" s="1"/>
      <c r="G3605" s="1"/>
      <c r="I3605" s="1"/>
      <c r="J3605" s="1"/>
      <c r="L3605" s="1"/>
      <c r="M3605" s="1"/>
      <c r="O3605" s="2"/>
      <c r="P3605" s="2"/>
    </row>
    <row r="3606" spans="1:16" x14ac:dyDescent="0.25">
      <c r="A3606" s="2"/>
      <c r="B3606" s="2"/>
      <c r="F3606" s="1"/>
      <c r="G3606" s="1"/>
      <c r="I3606" s="1"/>
      <c r="J3606" s="1"/>
      <c r="L3606" s="1"/>
      <c r="M3606" s="1"/>
      <c r="O3606" s="2"/>
      <c r="P3606" s="2"/>
    </row>
    <row r="3607" spans="1:16" x14ac:dyDescent="0.25">
      <c r="A3607" s="2"/>
      <c r="B3607" s="2"/>
      <c r="F3607" s="1"/>
      <c r="G3607" s="1"/>
      <c r="I3607" s="1"/>
      <c r="J3607" s="1"/>
      <c r="L3607" s="1"/>
      <c r="M3607" s="1"/>
      <c r="O3607" s="2"/>
      <c r="P3607" s="2"/>
    </row>
    <row r="3608" spans="1:16" x14ac:dyDescent="0.25">
      <c r="A3608" s="2"/>
      <c r="B3608" s="2"/>
      <c r="F3608" s="1"/>
      <c r="G3608" s="1"/>
      <c r="I3608" s="1"/>
      <c r="J3608" s="1"/>
      <c r="L3608" s="1"/>
      <c r="M3608" s="1"/>
      <c r="O3608" s="2"/>
      <c r="P3608" s="2"/>
    </row>
    <row r="3609" spans="1:16" x14ac:dyDescent="0.25">
      <c r="A3609" s="2"/>
      <c r="B3609" s="2"/>
      <c r="F3609" s="1"/>
      <c r="G3609" s="1"/>
      <c r="I3609" s="1"/>
      <c r="J3609" s="1"/>
      <c r="L3609" s="1"/>
      <c r="M3609" s="1"/>
      <c r="O3609" s="2"/>
      <c r="P3609" s="2"/>
    </row>
    <row r="3610" spans="1:16" x14ac:dyDescent="0.25">
      <c r="A3610" s="2"/>
      <c r="B3610" s="2"/>
      <c r="F3610" s="1"/>
      <c r="G3610" s="1"/>
      <c r="I3610" s="1"/>
      <c r="J3610" s="1"/>
      <c r="L3610" s="1"/>
      <c r="M3610" s="1"/>
      <c r="O3610" s="2"/>
      <c r="P3610" s="2"/>
    </row>
    <row r="3611" spans="1:16" x14ac:dyDescent="0.25">
      <c r="A3611" s="2"/>
      <c r="B3611" s="2"/>
      <c r="F3611" s="1"/>
      <c r="G3611" s="1"/>
      <c r="I3611" s="1"/>
      <c r="J3611" s="1"/>
      <c r="L3611" s="1"/>
      <c r="M3611" s="1"/>
      <c r="O3611" s="2"/>
      <c r="P3611" s="2"/>
    </row>
    <row r="3612" spans="1:16" x14ac:dyDescent="0.25">
      <c r="A3612" s="2"/>
      <c r="B3612" s="2"/>
      <c r="F3612" s="1"/>
      <c r="G3612" s="1"/>
      <c r="I3612" s="1"/>
      <c r="J3612" s="1"/>
      <c r="L3612" s="1"/>
      <c r="M3612" s="1"/>
      <c r="O3612" s="2"/>
      <c r="P3612" s="2"/>
    </row>
    <row r="3613" spans="1:16" x14ac:dyDescent="0.25">
      <c r="A3613" s="2"/>
      <c r="B3613" s="2"/>
      <c r="F3613" s="1"/>
      <c r="G3613" s="1"/>
      <c r="I3613" s="1"/>
      <c r="J3613" s="1"/>
      <c r="L3613" s="1"/>
      <c r="M3613" s="1"/>
      <c r="O3613" s="2"/>
      <c r="P3613" s="2"/>
    </row>
    <row r="3614" spans="1:16" x14ac:dyDescent="0.25">
      <c r="A3614" s="2"/>
      <c r="B3614" s="2"/>
      <c r="F3614" s="1"/>
      <c r="G3614" s="1"/>
      <c r="I3614" s="1"/>
      <c r="J3614" s="1"/>
      <c r="L3614" s="1"/>
      <c r="M3614" s="1"/>
      <c r="O3614" s="2"/>
      <c r="P3614" s="2"/>
    </row>
    <row r="3615" spans="1:16" x14ac:dyDescent="0.25">
      <c r="A3615" s="2"/>
      <c r="B3615" s="2"/>
      <c r="F3615" s="1"/>
      <c r="G3615" s="1"/>
      <c r="I3615" s="1"/>
      <c r="J3615" s="1"/>
      <c r="L3615" s="1"/>
      <c r="M3615" s="1"/>
      <c r="O3615" s="2"/>
      <c r="P3615" s="2"/>
    </row>
    <row r="3616" spans="1:16" x14ac:dyDescent="0.25">
      <c r="A3616" s="2"/>
      <c r="B3616" s="2"/>
      <c r="F3616" s="1"/>
      <c r="G3616" s="1"/>
      <c r="I3616" s="1"/>
      <c r="J3616" s="1"/>
      <c r="L3616" s="1"/>
      <c r="M3616" s="1"/>
      <c r="O3616" s="2"/>
      <c r="P3616" s="2"/>
    </row>
    <row r="3617" spans="1:16" x14ac:dyDescent="0.25">
      <c r="A3617" s="2"/>
      <c r="B3617" s="2"/>
      <c r="F3617" s="1"/>
      <c r="G3617" s="1"/>
      <c r="I3617" s="1"/>
      <c r="J3617" s="1"/>
      <c r="L3617" s="1"/>
      <c r="M3617" s="1"/>
      <c r="O3617" s="2"/>
      <c r="P3617" s="2"/>
    </row>
    <row r="3618" spans="1:16" x14ac:dyDescent="0.25">
      <c r="A3618" s="2"/>
      <c r="B3618" s="2"/>
      <c r="F3618" s="1"/>
      <c r="G3618" s="1"/>
      <c r="I3618" s="1"/>
      <c r="J3618" s="1"/>
      <c r="L3618" s="1"/>
      <c r="M3618" s="1"/>
      <c r="O3618" s="2"/>
      <c r="P3618" s="2"/>
    </row>
    <row r="3619" spans="1:16" x14ac:dyDescent="0.25">
      <c r="A3619" s="2"/>
      <c r="B3619" s="2"/>
      <c r="F3619" s="1"/>
      <c r="G3619" s="1"/>
      <c r="I3619" s="1"/>
      <c r="J3619" s="1"/>
      <c r="L3619" s="1"/>
      <c r="M3619" s="1"/>
      <c r="O3619" s="2"/>
      <c r="P3619" s="2"/>
    </row>
    <row r="3620" spans="1:16" x14ac:dyDescent="0.25">
      <c r="A3620" s="2"/>
      <c r="B3620" s="2"/>
      <c r="F3620" s="1"/>
      <c r="G3620" s="1"/>
      <c r="I3620" s="1"/>
      <c r="J3620" s="1"/>
      <c r="L3620" s="1"/>
      <c r="M3620" s="1"/>
      <c r="O3620" s="2"/>
      <c r="P3620" s="2"/>
    </row>
    <row r="3621" spans="1:16" x14ac:dyDescent="0.25">
      <c r="A3621" s="2"/>
      <c r="B3621" s="2"/>
      <c r="F3621" s="1"/>
      <c r="G3621" s="1"/>
      <c r="I3621" s="1"/>
      <c r="J3621" s="1"/>
      <c r="L3621" s="1"/>
      <c r="M3621" s="1"/>
      <c r="O3621" s="2"/>
      <c r="P3621" s="2"/>
    </row>
    <row r="3622" spans="1:16" x14ac:dyDescent="0.25">
      <c r="A3622" s="2"/>
      <c r="B3622" s="2"/>
      <c r="F3622" s="1"/>
      <c r="G3622" s="1"/>
      <c r="I3622" s="1"/>
      <c r="J3622" s="1"/>
      <c r="L3622" s="1"/>
      <c r="M3622" s="1"/>
      <c r="O3622" s="2"/>
      <c r="P3622" s="2"/>
    </row>
    <row r="3623" spans="1:16" x14ac:dyDescent="0.25">
      <c r="A3623" s="2"/>
      <c r="B3623" s="2"/>
      <c r="F3623" s="1"/>
      <c r="G3623" s="1"/>
      <c r="I3623" s="1"/>
      <c r="J3623" s="1"/>
      <c r="L3623" s="1"/>
      <c r="M3623" s="1"/>
      <c r="O3623" s="2"/>
      <c r="P3623" s="2"/>
    </row>
    <row r="3624" spans="1:16" x14ac:dyDescent="0.25">
      <c r="A3624" s="2"/>
      <c r="B3624" s="2"/>
      <c r="F3624" s="1"/>
      <c r="G3624" s="1"/>
      <c r="I3624" s="1"/>
      <c r="J3624" s="1"/>
      <c r="L3624" s="1"/>
      <c r="M3624" s="1"/>
      <c r="O3624" s="2"/>
      <c r="P3624" s="2"/>
    </row>
    <row r="3625" spans="1:16" x14ac:dyDescent="0.25">
      <c r="A3625" s="2"/>
      <c r="B3625" s="2"/>
      <c r="F3625" s="1"/>
      <c r="G3625" s="1"/>
      <c r="I3625" s="1"/>
      <c r="J3625" s="1"/>
      <c r="L3625" s="1"/>
      <c r="M3625" s="1"/>
      <c r="O3625" s="2"/>
      <c r="P3625" s="2"/>
    </row>
    <row r="3626" spans="1:16" x14ac:dyDescent="0.25">
      <c r="A3626" s="2"/>
      <c r="B3626" s="2"/>
      <c r="F3626" s="1"/>
      <c r="G3626" s="1"/>
      <c r="I3626" s="1"/>
      <c r="J3626" s="1"/>
      <c r="L3626" s="1"/>
      <c r="M3626" s="1"/>
      <c r="O3626" s="2"/>
      <c r="P3626" s="2"/>
    </row>
    <row r="3627" spans="1:16" x14ac:dyDescent="0.25">
      <c r="A3627" s="2"/>
      <c r="B3627" s="2"/>
      <c r="F3627" s="1"/>
      <c r="G3627" s="1"/>
      <c r="I3627" s="1"/>
      <c r="J3627" s="1"/>
      <c r="L3627" s="1"/>
      <c r="M3627" s="1"/>
      <c r="O3627" s="2"/>
      <c r="P3627" s="2"/>
    </row>
    <row r="3628" spans="1:16" x14ac:dyDescent="0.25">
      <c r="A3628" s="2"/>
      <c r="B3628" s="2"/>
      <c r="F3628" s="1"/>
      <c r="G3628" s="1"/>
      <c r="I3628" s="1"/>
      <c r="J3628" s="1"/>
      <c r="L3628" s="1"/>
      <c r="M3628" s="1"/>
      <c r="O3628" s="2"/>
      <c r="P3628" s="2"/>
    </row>
    <row r="3629" spans="1:16" x14ac:dyDescent="0.25">
      <c r="A3629" s="2"/>
      <c r="B3629" s="2"/>
      <c r="F3629" s="1"/>
      <c r="G3629" s="1"/>
      <c r="I3629" s="1"/>
      <c r="J3629" s="1"/>
      <c r="L3629" s="1"/>
      <c r="M3629" s="1"/>
      <c r="O3629" s="2"/>
      <c r="P3629" s="2"/>
    </row>
    <row r="3630" spans="1:16" x14ac:dyDescent="0.25">
      <c r="A3630" s="2"/>
      <c r="B3630" s="2"/>
      <c r="F3630" s="1"/>
      <c r="G3630" s="1"/>
      <c r="I3630" s="1"/>
      <c r="J3630" s="1"/>
      <c r="L3630" s="1"/>
      <c r="M3630" s="1"/>
      <c r="O3630" s="2"/>
      <c r="P3630" s="2"/>
    </row>
    <row r="3631" spans="1:16" x14ac:dyDescent="0.25">
      <c r="A3631" s="2"/>
      <c r="B3631" s="2"/>
      <c r="F3631" s="1"/>
      <c r="G3631" s="1"/>
      <c r="I3631" s="1"/>
      <c r="J3631" s="1"/>
      <c r="L3631" s="1"/>
      <c r="M3631" s="1"/>
      <c r="O3631" s="2"/>
      <c r="P3631" s="2"/>
    </row>
    <row r="3632" spans="1:16" x14ac:dyDescent="0.25">
      <c r="A3632" s="2"/>
      <c r="B3632" s="2"/>
      <c r="F3632" s="1"/>
      <c r="G3632" s="1"/>
      <c r="I3632" s="1"/>
      <c r="J3632" s="1"/>
      <c r="L3632" s="1"/>
      <c r="M3632" s="1"/>
      <c r="O3632" s="2"/>
      <c r="P3632" s="2"/>
    </row>
    <row r="3633" spans="1:16" x14ac:dyDescent="0.25">
      <c r="A3633" s="2"/>
      <c r="B3633" s="2"/>
      <c r="F3633" s="1"/>
      <c r="G3633" s="1"/>
      <c r="I3633" s="1"/>
      <c r="J3633" s="1"/>
      <c r="L3633" s="1"/>
      <c r="M3633" s="1"/>
      <c r="O3633" s="2"/>
      <c r="P3633" s="2"/>
    </row>
    <row r="3634" spans="1:16" x14ac:dyDescent="0.25">
      <c r="A3634" s="2"/>
      <c r="B3634" s="2"/>
      <c r="F3634" s="1"/>
      <c r="G3634" s="1"/>
      <c r="I3634" s="1"/>
      <c r="J3634" s="1"/>
      <c r="L3634" s="1"/>
      <c r="M3634" s="1"/>
      <c r="O3634" s="2"/>
      <c r="P3634" s="2"/>
    </row>
    <row r="3635" spans="1:16" x14ac:dyDescent="0.25">
      <c r="A3635" s="2"/>
      <c r="B3635" s="2"/>
      <c r="F3635" s="1"/>
      <c r="G3635" s="1"/>
      <c r="I3635" s="1"/>
      <c r="J3635" s="1"/>
      <c r="L3635" s="1"/>
      <c r="M3635" s="1"/>
      <c r="O3635" s="2"/>
      <c r="P3635" s="2"/>
    </row>
    <row r="3636" spans="1:16" x14ac:dyDescent="0.25">
      <c r="A3636" s="2"/>
      <c r="B3636" s="2"/>
      <c r="F3636" s="1"/>
      <c r="G3636" s="1"/>
      <c r="I3636" s="1"/>
      <c r="J3636" s="1"/>
      <c r="L3636" s="1"/>
      <c r="M3636" s="1"/>
      <c r="O3636" s="2"/>
      <c r="P3636" s="2"/>
    </row>
    <row r="3637" spans="1:16" x14ac:dyDescent="0.25">
      <c r="A3637" s="2"/>
      <c r="B3637" s="2"/>
      <c r="F3637" s="1"/>
      <c r="G3637" s="1"/>
      <c r="I3637" s="1"/>
      <c r="J3637" s="1"/>
      <c r="L3637" s="1"/>
      <c r="M3637" s="1"/>
      <c r="O3637" s="2"/>
      <c r="P3637" s="2"/>
    </row>
    <row r="3638" spans="1:16" x14ac:dyDescent="0.25">
      <c r="A3638" s="2"/>
      <c r="B3638" s="2"/>
      <c r="F3638" s="1"/>
      <c r="G3638" s="1"/>
      <c r="I3638" s="1"/>
      <c r="J3638" s="1"/>
      <c r="L3638" s="1"/>
      <c r="M3638" s="1"/>
      <c r="O3638" s="2"/>
      <c r="P3638" s="2"/>
    </row>
    <row r="3639" spans="1:16" x14ac:dyDescent="0.25">
      <c r="A3639" s="2"/>
      <c r="B3639" s="2"/>
      <c r="F3639" s="1"/>
      <c r="G3639" s="1"/>
      <c r="I3639" s="1"/>
      <c r="J3639" s="1"/>
      <c r="L3639" s="1"/>
      <c r="M3639" s="1"/>
      <c r="O3639" s="2"/>
      <c r="P3639" s="2"/>
    </row>
    <row r="3640" spans="1:16" x14ac:dyDescent="0.25">
      <c r="A3640" s="2"/>
      <c r="B3640" s="2"/>
      <c r="F3640" s="1"/>
      <c r="G3640" s="1"/>
      <c r="I3640" s="1"/>
      <c r="J3640" s="1"/>
      <c r="L3640" s="1"/>
      <c r="M3640" s="1"/>
      <c r="O3640" s="2"/>
      <c r="P3640" s="2"/>
    </row>
    <row r="3641" spans="1:16" x14ac:dyDescent="0.25">
      <c r="A3641" s="2"/>
      <c r="B3641" s="2"/>
      <c r="F3641" s="1"/>
      <c r="G3641" s="1"/>
      <c r="I3641" s="1"/>
      <c r="J3641" s="1"/>
      <c r="L3641" s="1"/>
      <c r="M3641" s="1"/>
      <c r="O3641" s="2"/>
      <c r="P3641" s="2"/>
    </row>
    <row r="3642" spans="1:16" x14ac:dyDescent="0.25">
      <c r="A3642" s="2"/>
      <c r="B3642" s="2"/>
      <c r="F3642" s="1"/>
      <c r="G3642" s="1"/>
      <c r="I3642" s="1"/>
      <c r="J3642" s="1"/>
      <c r="L3642" s="1"/>
      <c r="M3642" s="1"/>
      <c r="O3642" s="2"/>
      <c r="P3642" s="2"/>
    </row>
    <row r="3643" spans="1:16" x14ac:dyDescent="0.25">
      <c r="A3643" s="2"/>
      <c r="B3643" s="2"/>
      <c r="F3643" s="1"/>
      <c r="G3643" s="1"/>
      <c r="I3643" s="1"/>
      <c r="J3643" s="1"/>
      <c r="L3643" s="1"/>
      <c r="M3643" s="1"/>
      <c r="O3643" s="2"/>
      <c r="P3643" s="2"/>
    </row>
    <row r="3644" spans="1:16" x14ac:dyDescent="0.25">
      <c r="A3644" s="2"/>
      <c r="B3644" s="2"/>
      <c r="F3644" s="1"/>
      <c r="G3644" s="1"/>
      <c r="I3644" s="1"/>
      <c r="J3644" s="1"/>
      <c r="L3644" s="1"/>
      <c r="M3644" s="1"/>
      <c r="O3644" s="2"/>
      <c r="P3644" s="2"/>
    </row>
    <row r="3645" spans="1:16" x14ac:dyDescent="0.25">
      <c r="A3645" s="2"/>
      <c r="B3645" s="2"/>
      <c r="F3645" s="1"/>
      <c r="G3645" s="1"/>
      <c r="I3645" s="1"/>
      <c r="J3645" s="1"/>
      <c r="L3645" s="1"/>
      <c r="M3645" s="1"/>
      <c r="O3645" s="2"/>
      <c r="P3645" s="2"/>
    </row>
    <row r="3646" spans="1:16" x14ac:dyDescent="0.25">
      <c r="A3646" s="2"/>
      <c r="B3646" s="2"/>
      <c r="F3646" s="1"/>
      <c r="G3646" s="1"/>
      <c r="I3646" s="1"/>
      <c r="J3646" s="1"/>
      <c r="L3646" s="1"/>
      <c r="M3646" s="1"/>
      <c r="O3646" s="2"/>
      <c r="P3646" s="2"/>
    </row>
    <row r="3647" spans="1:16" x14ac:dyDescent="0.25">
      <c r="A3647" s="2"/>
      <c r="B3647" s="2"/>
      <c r="F3647" s="1"/>
      <c r="G3647" s="1"/>
      <c r="I3647" s="1"/>
      <c r="J3647" s="1"/>
      <c r="L3647" s="1"/>
      <c r="M3647" s="1"/>
      <c r="O3647" s="2"/>
      <c r="P3647" s="2"/>
    </row>
    <row r="3648" spans="1:16" x14ac:dyDescent="0.25">
      <c r="A3648" s="2"/>
      <c r="B3648" s="2"/>
      <c r="F3648" s="1"/>
      <c r="G3648" s="1"/>
      <c r="I3648" s="1"/>
      <c r="J3648" s="1"/>
      <c r="L3648" s="1"/>
      <c r="M3648" s="1"/>
      <c r="O3648" s="2"/>
      <c r="P3648" s="2"/>
    </row>
    <row r="3649" spans="1:16" x14ac:dyDescent="0.25">
      <c r="A3649" s="2"/>
      <c r="B3649" s="2"/>
      <c r="F3649" s="1"/>
      <c r="G3649" s="1"/>
      <c r="I3649" s="1"/>
      <c r="J3649" s="1"/>
      <c r="L3649" s="1"/>
      <c r="M3649" s="1"/>
      <c r="O3649" s="2"/>
      <c r="P3649" s="2"/>
    </row>
    <row r="3650" spans="1:16" x14ac:dyDescent="0.25">
      <c r="A3650" s="2"/>
      <c r="B3650" s="2"/>
      <c r="F3650" s="1"/>
      <c r="G3650" s="1"/>
      <c r="I3650" s="1"/>
      <c r="J3650" s="1"/>
      <c r="L3650" s="1"/>
      <c r="M3650" s="1"/>
      <c r="O3650" s="2"/>
      <c r="P3650" s="2"/>
    </row>
    <row r="3651" spans="1:16" x14ac:dyDescent="0.25">
      <c r="A3651" s="2"/>
      <c r="B3651" s="2"/>
      <c r="F3651" s="1"/>
      <c r="G3651" s="1"/>
      <c r="I3651" s="1"/>
      <c r="J3651" s="1"/>
      <c r="L3651" s="1"/>
      <c r="M3651" s="1"/>
      <c r="O3651" s="2"/>
      <c r="P3651" s="2"/>
    </row>
    <row r="3652" spans="1:16" x14ac:dyDescent="0.25">
      <c r="A3652" s="2"/>
      <c r="B3652" s="2"/>
      <c r="F3652" s="1"/>
      <c r="G3652" s="1"/>
      <c r="I3652" s="1"/>
      <c r="J3652" s="1"/>
      <c r="L3652" s="1"/>
      <c r="M3652" s="1"/>
      <c r="O3652" s="2"/>
      <c r="P3652" s="2"/>
    </row>
    <row r="3653" spans="1:16" x14ac:dyDescent="0.25">
      <c r="A3653" s="2"/>
      <c r="B3653" s="2"/>
      <c r="F3653" s="1"/>
      <c r="G3653" s="1"/>
      <c r="I3653" s="1"/>
      <c r="J3653" s="1"/>
      <c r="L3653" s="1"/>
      <c r="M3653" s="1"/>
      <c r="O3653" s="2"/>
      <c r="P3653" s="2"/>
    </row>
    <row r="3654" spans="1:16" x14ac:dyDescent="0.25">
      <c r="A3654" s="2"/>
      <c r="B3654" s="2"/>
      <c r="F3654" s="1"/>
      <c r="G3654" s="1"/>
      <c r="I3654" s="1"/>
      <c r="J3654" s="1"/>
      <c r="L3654" s="1"/>
      <c r="M3654" s="1"/>
      <c r="O3654" s="2"/>
      <c r="P3654" s="2"/>
    </row>
    <row r="3655" spans="1:16" x14ac:dyDescent="0.25">
      <c r="A3655" s="2"/>
      <c r="B3655" s="2"/>
      <c r="F3655" s="1"/>
      <c r="G3655" s="1"/>
      <c r="I3655" s="1"/>
      <c r="J3655" s="1"/>
      <c r="L3655" s="1"/>
      <c r="M3655" s="1"/>
      <c r="O3655" s="2"/>
      <c r="P3655" s="2"/>
    </row>
    <row r="3656" spans="1:16" x14ac:dyDescent="0.25">
      <c r="A3656" s="2"/>
      <c r="B3656" s="2"/>
      <c r="F3656" s="1"/>
      <c r="G3656" s="1"/>
      <c r="I3656" s="1"/>
      <c r="J3656" s="1"/>
      <c r="L3656" s="1"/>
      <c r="M3656" s="1"/>
      <c r="O3656" s="2"/>
      <c r="P3656" s="2"/>
    </row>
    <row r="3657" spans="1:16" x14ac:dyDescent="0.25">
      <c r="A3657" s="2"/>
      <c r="B3657" s="2"/>
      <c r="F3657" s="1"/>
      <c r="G3657" s="1"/>
      <c r="I3657" s="1"/>
      <c r="J3657" s="1"/>
      <c r="L3657" s="1"/>
      <c r="M3657" s="1"/>
      <c r="O3657" s="2"/>
      <c r="P3657" s="2"/>
    </row>
    <row r="3658" spans="1:16" x14ac:dyDescent="0.25">
      <c r="A3658" s="2"/>
      <c r="B3658" s="2"/>
      <c r="F3658" s="1"/>
      <c r="G3658" s="1"/>
      <c r="I3658" s="1"/>
      <c r="J3658" s="1"/>
      <c r="L3658" s="1"/>
      <c r="M3658" s="1"/>
      <c r="O3658" s="2"/>
      <c r="P3658" s="2"/>
    </row>
    <row r="3659" spans="1:16" x14ac:dyDescent="0.25">
      <c r="A3659" s="2"/>
      <c r="B3659" s="2"/>
      <c r="F3659" s="1"/>
      <c r="G3659" s="1"/>
      <c r="I3659" s="1"/>
      <c r="J3659" s="1"/>
      <c r="L3659" s="1"/>
      <c r="M3659" s="1"/>
      <c r="O3659" s="2"/>
      <c r="P3659" s="2"/>
    </row>
    <row r="3660" spans="1:16" x14ac:dyDescent="0.25">
      <c r="A3660" s="2"/>
      <c r="B3660" s="2"/>
      <c r="F3660" s="1"/>
      <c r="G3660" s="1"/>
      <c r="I3660" s="1"/>
      <c r="J3660" s="1"/>
      <c r="L3660" s="1"/>
      <c r="M3660" s="1"/>
      <c r="O3660" s="2"/>
      <c r="P3660" s="2"/>
    </row>
    <row r="3661" spans="1:16" x14ac:dyDescent="0.25">
      <c r="A3661" s="2"/>
      <c r="B3661" s="2"/>
      <c r="F3661" s="1"/>
      <c r="G3661" s="1"/>
      <c r="I3661" s="1"/>
      <c r="J3661" s="1"/>
      <c r="L3661" s="1"/>
      <c r="M3661" s="1"/>
      <c r="O3661" s="2"/>
      <c r="P3661" s="2"/>
    </row>
    <row r="3662" spans="1:16" x14ac:dyDescent="0.25">
      <c r="A3662" s="2"/>
      <c r="B3662" s="2"/>
      <c r="F3662" s="1"/>
      <c r="G3662" s="1"/>
      <c r="I3662" s="1"/>
      <c r="J3662" s="1"/>
      <c r="L3662" s="1"/>
      <c r="M3662" s="1"/>
      <c r="O3662" s="2"/>
      <c r="P3662" s="2"/>
    </row>
    <row r="3663" spans="1:16" x14ac:dyDescent="0.25">
      <c r="A3663" s="2"/>
      <c r="B3663" s="2"/>
      <c r="F3663" s="1"/>
      <c r="G3663" s="1"/>
      <c r="I3663" s="1"/>
      <c r="J3663" s="1"/>
      <c r="L3663" s="1"/>
      <c r="M3663" s="1"/>
      <c r="O3663" s="2"/>
      <c r="P3663" s="2"/>
    </row>
    <row r="3664" spans="1:16" x14ac:dyDescent="0.25">
      <c r="A3664" s="2"/>
      <c r="B3664" s="2"/>
      <c r="F3664" s="1"/>
      <c r="G3664" s="1"/>
      <c r="I3664" s="1"/>
      <c r="J3664" s="1"/>
      <c r="L3664" s="1"/>
      <c r="M3664" s="1"/>
      <c r="O3664" s="2"/>
      <c r="P3664" s="2"/>
    </row>
    <row r="3665" spans="1:16" x14ac:dyDescent="0.25">
      <c r="A3665" s="2"/>
      <c r="B3665" s="2"/>
      <c r="F3665" s="1"/>
      <c r="G3665" s="1"/>
      <c r="I3665" s="1"/>
      <c r="J3665" s="1"/>
      <c r="L3665" s="1"/>
      <c r="M3665" s="1"/>
      <c r="O3665" s="2"/>
      <c r="P3665" s="2"/>
    </row>
    <row r="3666" spans="1:16" x14ac:dyDescent="0.25">
      <c r="A3666" s="2"/>
      <c r="B3666" s="2"/>
      <c r="F3666" s="1"/>
      <c r="G3666" s="1"/>
      <c r="I3666" s="1"/>
      <c r="J3666" s="1"/>
      <c r="L3666" s="1"/>
      <c r="M3666" s="1"/>
      <c r="O3666" s="2"/>
      <c r="P3666" s="2"/>
    </row>
    <row r="3667" spans="1:16" x14ac:dyDescent="0.25">
      <c r="A3667" s="2"/>
      <c r="B3667" s="2"/>
      <c r="F3667" s="1"/>
      <c r="G3667" s="1"/>
      <c r="I3667" s="1"/>
      <c r="J3667" s="1"/>
      <c r="L3667" s="1"/>
      <c r="M3667" s="1"/>
      <c r="O3667" s="2"/>
      <c r="P3667" s="2"/>
    </row>
    <row r="3668" spans="1:16" x14ac:dyDescent="0.25">
      <c r="A3668" s="2"/>
      <c r="B3668" s="2"/>
      <c r="F3668" s="1"/>
      <c r="G3668" s="1"/>
      <c r="I3668" s="1"/>
      <c r="J3668" s="1"/>
      <c r="L3668" s="1"/>
      <c r="M3668" s="1"/>
      <c r="O3668" s="2"/>
      <c r="P3668" s="2"/>
    </row>
    <row r="3669" spans="1:16" x14ac:dyDescent="0.25">
      <c r="A3669" s="2"/>
      <c r="B3669" s="2"/>
      <c r="F3669" s="1"/>
      <c r="G3669" s="1"/>
      <c r="I3669" s="1"/>
      <c r="J3669" s="1"/>
      <c r="L3669" s="1"/>
      <c r="M3669" s="1"/>
      <c r="O3669" s="2"/>
      <c r="P3669" s="2"/>
    </row>
    <row r="3670" spans="1:16" x14ac:dyDescent="0.25">
      <c r="A3670" s="2"/>
      <c r="B3670" s="2"/>
      <c r="F3670" s="1"/>
      <c r="G3670" s="1"/>
      <c r="I3670" s="1"/>
      <c r="J3670" s="1"/>
      <c r="L3670" s="1"/>
      <c r="M3670" s="1"/>
      <c r="O3670" s="2"/>
      <c r="P3670" s="2"/>
    </row>
    <row r="3671" spans="1:16" x14ac:dyDescent="0.25">
      <c r="A3671" s="2"/>
      <c r="B3671" s="2"/>
      <c r="F3671" s="1"/>
      <c r="G3671" s="1"/>
      <c r="I3671" s="1"/>
      <c r="J3671" s="1"/>
      <c r="L3671" s="1"/>
      <c r="M3671" s="1"/>
      <c r="O3671" s="2"/>
      <c r="P3671" s="2"/>
    </row>
    <row r="3672" spans="1:16" x14ac:dyDescent="0.25">
      <c r="A3672" s="2"/>
      <c r="B3672" s="2"/>
      <c r="F3672" s="1"/>
      <c r="G3672" s="1"/>
      <c r="I3672" s="1"/>
      <c r="J3672" s="1"/>
      <c r="L3672" s="1"/>
      <c r="M3672" s="1"/>
      <c r="O3672" s="2"/>
      <c r="P3672" s="2"/>
    </row>
    <row r="3673" spans="1:16" x14ac:dyDescent="0.25">
      <c r="A3673" s="2"/>
      <c r="B3673" s="2"/>
      <c r="F3673" s="1"/>
      <c r="G3673" s="1"/>
      <c r="I3673" s="1"/>
      <c r="J3673" s="1"/>
      <c r="L3673" s="1"/>
      <c r="M3673" s="1"/>
      <c r="O3673" s="2"/>
      <c r="P3673" s="2"/>
    </row>
    <row r="3674" spans="1:16" x14ac:dyDescent="0.25">
      <c r="A3674" s="2"/>
      <c r="B3674" s="2"/>
      <c r="F3674" s="1"/>
      <c r="G3674" s="1"/>
      <c r="I3674" s="1"/>
      <c r="J3674" s="1"/>
      <c r="L3674" s="1"/>
      <c r="M3674" s="1"/>
      <c r="O3674" s="2"/>
      <c r="P3674" s="2"/>
    </row>
    <row r="3675" spans="1:16" x14ac:dyDescent="0.25">
      <c r="A3675" s="2"/>
      <c r="B3675" s="2"/>
      <c r="F3675" s="1"/>
      <c r="G3675" s="1"/>
      <c r="I3675" s="1"/>
      <c r="J3675" s="1"/>
      <c r="L3675" s="1"/>
      <c r="M3675" s="1"/>
      <c r="O3675" s="2"/>
      <c r="P3675" s="2"/>
    </row>
    <row r="3676" spans="1:16" x14ac:dyDescent="0.25">
      <c r="A3676" s="2"/>
      <c r="B3676" s="2"/>
      <c r="F3676" s="1"/>
      <c r="G3676" s="1"/>
      <c r="I3676" s="1"/>
      <c r="J3676" s="1"/>
      <c r="L3676" s="1"/>
      <c r="M3676" s="1"/>
      <c r="O3676" s="2"/>
      <c r="P3676" s="2"/>
    </row>
    <row r="3677" spans="1:16" x14ac:dyDescent="0.25">
      <c r="A3677" s="2"/>
      <c r="B3677" s="2"/>
      <c r="F3677" s="1"/>
      <c r="G3677" s="1"/>
      <c r="I3677" s="1"/>
      <c r="J3677" s="1"/>
      <c r="L3677" s="1"/>
      <c r="M3677" s="1"/>
      <c r="O3677" s="2"/>
      <c r="P3677" s="2"/>
    </row>
    <row r="3678" spans="1:16" x14ac:dyDescent="0.25">
      <c r="A3678" s="2"/>
      <c r="B3678" s="2"/>
      <c r="F3678" s="1"/>
      <c r="G3678" s="1"/>
      <c r="I3678" s="1"/>
      <c r="J3678" s="1"/>
      <c r="L3678" s="1"/>
      <c r="M3678" s="1"/>
      <c r="O3678" s="2"/>
      <c r="P3678" s="2"/>
    </row>
    <row r="3679" spans="1:16" x14ac:dyDescent="0.25">
      <c r="A3679" s="2"/>
      <c r="B3679" s="2"/>
      <c r="F3679" s="1"/>
      <c r="G3679" s="1"/>
      <c r="I3679" s="1"/>
      <c r="J3679" s="1"/>
      <c r="L3679" s="1"/>
      <c r="M3679" s="1"/>
      <c r="O3679" s="2"/>
      <c r="P3679" s="2"/>
    </row>
    <row r="3680" spans="1:16" x14ac:dyDescent="0.25">
      <c r="A3680" s="2"/>
      <c r="B3680" s="2"/>
      <c r="F3680" s="1"/>
      <c r="G3680" s="1"/>
      <c r="I3680" s="1"/>
      <c r="J3680" s="1"/>
      <c r="L3680" s="1"/>
      <c r="M3680" s="1"/>
      <c r="O3680" s="2"/>
      <c r="P3680" s="2"/>
    </row>
    <row r="3681" spans="1:16" x14ac:dyDescent="0.25">
      <c r="A3681" s="2"/>
      <c r="B3681" s="2"/>
      <c r="F3681" s="1"/>
      <c r="G3681" s="1"/>
      <c r="I3681" s="1"/>
      <c r="J3681" s="1"/>
      <c r="L3681" s="1"/>
      <c r="M3681" s="1"/>
      <c r="O3681" s="2"/>
      <c r="P3681" s="2"/>
    </row>
    <row r="3682" spans="1:16" x14ac:dyDescent="0.25">
      <c r="A3682" s="2"/>
      <c r="B3682" s="2"/>
      <c r="F3682" s="1"/>
      <c r="G3682" s="1"/>
      <c r="I3682" s="1"/>
      <c r="J3682" s="1"/>
      <c r="L3682" s="1"/>
      <c r="M3682" s="1"/>
      <c r="O3682" s="2"/>
      <c r="P3682" s="2"/>
    </row>
    <row r="3683" spans="1:16" x14ac:dyDescent="0.25">
      <c r="A3683" s="2"/>
      <c r="B3683" s="2"/>
      <c r="F3683" s="1"/>
      <c r="G3683" s="1"/>
      <c r="I3683" s="1"/>
      <c r="J3683" s="1"/>
      <c r="L3683" s="1"/>
      <c r="M3683" s="1"/>
      <c r="O3683" s="2"/>
      <c r="P3683" s="2"/>
    </row>
    <row r="3684" spans="1:16" x14ac:dyDescent="0.25">
      <c r="A3684" s="2"/>
      <c r="B3684" s="2"/>
      <c r="F3684" s="1"/>
      <c r="G3684" s="1"/>
      <c r="I3684" s="1"/>
      <c r="J3684" s="1"/>
      <c r="L3684" s="1"/>
      <c r="M3684" s="1"/>
      <c r="O3684" s="2"/>
      <c r="P3684" s="2"/>
    </row>
    <row r="3685" spans="1:16" x14ac:dyDescent="0.25">
      <c r="A3685" s="2"/>
      <c r="B3685" s="2"/>
      <c r="F3685" s="1"/>
      <c r="G3685" s="1"/>
      <c r="I3685" s="1"/>
      <c r="J3685" s="1"/>
      <c r="L3685" s="1"/>
      <c r="M3685" s="1"/>
      <c r="O3685" s="2"/>
      <c r="P3685" s="2"/>
    </row>
    <row r="3686" spans="1:16" x14ac:dyDescent="0.25">
      <c r="A3686" s="2"/>
      <c r="B3686" s="2"/>
      <c r="F3686" s="1"/>
      <c r="G3686" s="1"/>
      <c r="I3686" s="1"/>
      <c r="J3686" s="1"/>
      <c r="L3686" s="1"/>
      <c r="M3686" s="1"/>
      <c r="O3686" s="2"/>
      <c r="P3686" s="2"/>
    </row>
    <row r="3687" spans="1:16" x14ac:dyDescent="0.25">
      <c r="A3687" s="2"/>
      <c r="B3687" s="2"/>
      <c r="F3687" s="1"/>
      <c r="G3687" s="1"/>
      <c r="I3687" s="1"/>
      <c r="J3687" s="1"/>
      <c r="L3687" s="1"/>
      <c r="M3687" s="1"/>
      <c r="O3687" s="2"/>
      <c r="P3687" s="2"/>
    </row>
    <row r="3688" spans="1:16" x14ac:dyDescent="0.25">
      <c r="A3688" s="2"/>
      <c r="B3688" s="2"/>
      <c r="F3688" s="1"/>
      <c r="G3688" s="1"/>
      <c r="I3688" s="1"/>
      <c r="J3688" s="1"/>
      <c r="L3688" s="1"/>
      <c r="M3688" s="1"/>
      <c r="O3688" s="2"/>
      <c r="P3688" s="2"/>
    </row>
    <row r="3689" spans="1:16" x14ac:dyDescent="0.25">
      <c r="A3689" s="2"/>
      <c r="B3689" s="2"/>
      <c r="F3689" s="1"/>
      <c r="G3689" s="1"/>
      <c r="I3689" s="1"/>
      <c r="J3689" s="1"/>
      <c r="L3689" s="1"/>
      <c r="M3689" s="1"/>
      <c r="O3689" s="2"/>
      <c r="P3689" s="2"/>
    </row>
    <row r="3690" spans="1:16" x14ac:dyDescent="0.25">
      <c r="A3690" s="2"/>
      <c r="B3690" s="2"/>
      <c r="F3690" s="1"/>
      <c r="G3690" s="1"/>
      <c r="I3690" s="1"/>
      <c r="J3690" s="1"/>
      <c r="L3690" s="1"/>
      <c r="M3690" s="1"/>
      <c r="O3690" s="2"/>
      <c r="P3690" s="2"/>
    </row>
    <row r="3691" spans="1:16" x14ac:dyDescent="0.25">
      <c r="A3691" s="2"/>
      <c r="B3691" s="2"/>
      <c r="F3691" s="1"/>
      <c r="G3691" s="1"/>
      <c r="I3691" s="1"/>
      <c r="J3691" s="1"/>
      <c r="L3691" s="1"/>
      <c r="M3691" s="1"/>
      <c r="O3691" s="2"/>
      <c r="P3691" s="2"/>
    </row>
    <row r="3692" spans="1:16" x14ac:dyDescent="0.25">
      <c r="A3692" s="2"/>
      <c r="B3692" s="2"/>
      <c r="F3692" s="1"/>
      <c r="G3692" s="1"/>
      <c r="I3692" s="1"/>
      <c r="J3692" s="1"/>
      <c r="L3692" s="1"/>
      <c r="M3692" s="1"/>
      <c r="O3692" s="2"/>
      <c r="P3692" s="2"/>
    </row>
    <row r="3693" spans="1:16" x14ac:dyDescent="0.25">
      <c r="A3693" s="2"/>
      <c r="B3693" s="2"/>
      <c r="F3693" s="1"/>
      <c r="G3693" s="1"/>
      <c r="I3693" s="1"/>
      <c r="J3693" s="1"/>
      <c r="L3693" s="1"/>
      <c r="M3693" s="1"/>
      <c r="O3693" s="2"/>
      <c r="P3693" s="2"/>
    </row>
    <row r="3694" spans="1:16" x14ac:dyDescent="0.25">
      <c r="A3694" s="2"/>
      <c r="B3694" s="2"/>
      <c r="F3694" s="1"/>
      <c r="G3694" s="1"/>
      <c r="I3694" s="1"/>
      <c r="J3694" s="1"/>
      <c r="L3694" s="1"/>
      <c r="M3694" s="1"/>
      <c r="O3694" s="2"/>
      <c r="P3694" s="2"/>
    </row>
    <row r="3695" spans="1:16" x14ac:dyDescent="0.25">
      <c r="A3695" s="2"/>
      <c r="B3695" s="2"/>
      <c r="F3695" s="1"/>
      <c r="G3695" s="1"/>
      <c r="I3695" s="1"/>
      <c r="J3695" s="1"/>
      <c r="L3695" s="1"/>
      <c r="M3695" s="1"/>
      <c r="O3695" s="2"/>
      <c r="P3695" s="2"/>
    </row>
    <row r="3696" spans="1:16" x14ac:dyDescent="0.25">
      <c r="A3696" s="2"/>
      <c r="B3696" s="2"/>
      <c r="F3696" s="1"/>
      <c r="G3696" s="1"/>
      <c r="I3696" s="1"/>
      <c r="J3696" s="1"/>
      <c r="L3696" s="1"/>
      <c r="M3696" s="1"/>
      <c r="O3696" s="2"/>
      <c r="P3696" s="2"/>
    </row>
    <row r="3697" spans="1:16" x14ac:dyDescent="0.25">
      <c r="A3697" s="2"/>
      <c r="B3697" s="2"/>
      <c r="F3697" s="1"/>
      <c r="G3697" s="1"/>
      <c r="I3697" s="1"/>
      <c r="J3697" s="1"/>
      <c r="L3697" s="1"/>
      <c r="M3697" s="1"/>
      <c r="O3697" s="2"/>
      <c r="P3697" s="2"/>
    </row>
    <row r="3698" spans="1:16" x14ac:dyDescent="0.25">
      <c r="A3698" s="2"/>
      <c r="B3698" s="2"/>
      <c r="F3698" s="1"/>
      <c r="G3698" s="1"/>
      <c r="I3698" s="1"/>
      <c r="J3698" s="1"/>
      <c r="L3698" s="1"/>
      <c r="M3698" s="1"/>
      <c r="O3698" s="2"/>
      <c r="P3698" s="2"/>
    </row>
    <row r="3699" spans="1:16" x14ac:dyDescent="0.25">
      <c r="A3699" s="2"/>
      <c r="B3699" s="2"/>
      <c r="F3699" s="1"/>
      <c r="G3699" s="1"/>
      <c r="I3699" s="1"/>
      <c r="J3699" s="1"/>
      <c r="L3699" s="1"/>
      <c r="M3699" s="1"/>
      <c r="O3699" s="2"/>
      <c r="P3699" s="2"/>
    </row>
    <row r="3700" spans="1:16" x14ac:dyDescent="0.25">
      <c r="A3700" s="2"/>
      <c r="B3700" s="2"/>
      <c r="F3700" s="1"/>
      <c r="G3700" s="1"/>
      <c r="I3700" s="1"/>
      <c r="J3700" s="1"/>
      <c r="L3700" s="1"/>
      <c r="M3700" s="1"/>
      <c r="O3700" s="2"/>
      <c r="P3700" s="2"/>
    </row>
    <row r="3701" spans="1:16" x14ac:dyDescent="0.25">
      <c r="A3701" s="2"/>
      <c r="B3701" s="2"/>
      <c r="F3701" s="1"/>
      <c r="G3701" s="1"/>
      <c r="I3701" s="1"/>
      <c r="J3701" s="1"/>
      <c r="L3701" s="1"/>
      <c r="M3701" s="1"/>
      <c r="O3701" s="2"/>
      <c r="P3701" s="2"/>
    </row>
    <row r="3702" spans="1:16" x14ac:dyDescent="0.25">
      <c r="A3702" s="2"/>
      <c r="B3702" s="2"/>
      <c r="F3702" s="1"/>
      <c r="G3702" s="1"/>
      <c r="I3702" s="1"/>
      <c r="J3702" s="1"/>
      <c r="L3702" s="1"/>
      <c r="M3702" s="1"/>
      <c r="O3702" s="2"/>
      <c r="P3702" s="2"/>
    </row>
    <row r="3703" spans="1:16" x14ac:dyDescent="0.25">
      <c r="A3703" s="2"/>
      <c r="B3703" s="2"/>
      <c r="F3703" s="1"/>
      <c r="G3703" s="1"/>
      <c r="I3703" s="1"/>
      <c r="J3703" s="1"/>
      <c r="L3703" s="1"/>
      <c r="M3703" s="1"/>
      <c r="O3703" s="2"/>
      <c r="P3703" s="2"/>
    </row>
    <row r="3704" spans="1:16" x14ac:dyDescent="0.25">
      <c r="A3704" s="2"/>
      <c r="B3704" s="2"/>
      <c r="F3704" s="1"/>
      <c r="G3704" s="1"/>
      <c r="I3704" s="1"/>
      <c r="J3704" s="1"/>
      <c r="L3704" s="1"/>
      <c r="M3704" s="1"/>
      <c r="O3704" s="2"/>
      <c r="P3704" s="2"/>
    </row>
    <row r="3705" spans="1:16" x14ac:dyDescent="0.25">
      <c r="A3705" s="2"/>
      <c r="B3705" s="2"/>
      <c r="F3705" s="1"/>
      <c r="G3705" s="1"/>
      <c r="I3705" s="1"/>
      <c r="J3705" s="1"/>
      <c r="L3705" s="1"/>
      <c r="M3705" s="1"/>
      <c r="O3705" s="2"/>
      <c r="P3705" s="2"/>
    </row>
    <row r="3706" spans="1:16" x14ac:dyDescent="0.25">
      <c r="A3706" s="2"/>
      <c r="B3706" s="2"/>
      <c r="F3706" s="1"/>
      <c r="G3706" s="1"/>
      <c r="I3706" s="1"/>
      <c r="J3706" s="1"/>
      <c r="L3706" s="1"/>
      <c r="M3706" s="1"/>
      <c r="O3706" s="2"/>
      <c r="P3706" s="2"/>
    </row>
    <row r="3707" spans="1:16" x14ac:dyDescent="0.25">
      <c r="A3707" s="2"/>
      <c r="B3707" s="2"/>
      <c r="F3707" s="1"/>
      <c r="G3707" s="1"/>
      <c r="I3707" s="1"/>
      <c r="J3707" s="1"/>
      <c r="L3707" s="1"/>
      <c r="M3707" s="1"/>
      <c r="O3707" s="2"/>
      <c r="P3707" s="2"/>
    </row>
    <row r="3708" spans="1:16" x14ac:dyDescent="0.25">
      <c r="A3708" s="2"/>
      <c r="B3708" s="2"/>
      <c r="F3708" s="1"/>
      <c r="G3708" s="1"/>
      <c r="I3708" s="1"/>
      <c r="J3708" s="1"/>
      <c r="L3708" s="1"/>
      <c r="M3708" s="1"/>
      <c r="O3708" s="2"/>
      <c r="P3708" s="2"/>
    </row>
    <row r="3709" spans="1:16" x14ac:dyDescent="0.25">
      <c r="A3709" s="2"/>
      <c r="B3709" s="2"/>
      <c r="F3709" s="1"/>
      <c r="G3709" s="1"/>
      <c r="I3709" s="1"/>
      <c r="J3709" s="1"/>
      <c r="L3709" s="1"/>
      <c r="M3709" s="1"/>
      <c r="O3709" s="2"/>
      <c r="P3709" s="2"/>
    </row>
    <row r="3710" spans="1:16" x14ac:dyDescent="0.25">
      <c r="A3710" s="2"/>
      <c r="B3710" s="2"/>
      <c r="F3710" s="1"/>
      <c r="G3710" s="1"/>
      <c r="I3710" s="1"/>
      <c r="J3710" s="1"/>
      <c r="L3710" s="1"/>
      <c r="M3710" s="1"/>
      <c r="O3710" s="2"/>
      <c r="P3710" s="2"/>
    </row>
    <row r="3711" spans="1:16" x14ac:dyDescent="0.25">
      <c r="A3711" s="2"/>
      <c r="B3711" s="2"/>
      <c r="F3711" s="1"/>
      <c r="G3711" s="1"/>
      <c r="I3711" s="1"/>
      <c r="J3711" s="1"/>
      <c r="L3711" s="1"/>
      <c r="M3711" s="1"/>
      <c r="O3711" s="2"/>
      <c r="P3711" s="2"/>
    </row>
    <row r="3712" spans="1:16" x14ac:dyDescent="0.25">
      <c r="A3712" s="2"/>
      <c r="B3712" s="2"/>
      <c r="F3712" s="1"/>
      <c r="G3712" s="1"/>
      <c r="I3712" s="1"/>
      <c r="J3712" s="1"/>
      <c r="L3712" s="1"/>
      <c r="M3712" s="1"/>
      <c r="O3712" s="2"/>
      <c r="P3712" s="2"/>
    </row>
    <row r="3713" spans="1:16" x14ac:dyDescent="0.25">
      <c r="A3713" s="2"/>
      <c r="B3713" s="2"/>
      <c r="F3713" s="1"/>
      <c r="G3713" s="1"/>
      <c r="I3713" s="1"/>
      <c r="J3713" s="1"/>
      <c r="L3713" s="1"/>
      <c r="M3713" s="1"/>
      <c r="O3713" s="2"/>
      <c r="P3713" s="2"/>
    </row>
    <row r="3714" spans="1:16" x14ac:dyDescent="0.25">
      <c r="A3714" s="2"/>
      <c r="B3714" s="2"/>
      <c r="F3714" s="1"/>
      <c r="G3714" s="1"/>
      <c r="I3714" s="1"/>
      <c r="J3714" s="1"/>
      <c r="L3714" s="1"/>
      <c r="M3714" s="1"/>
      <c r="O3714" s="2"/>
      <c r="P3714" s="2"/>
    </row>
    <row r="3715" spans="1:16" x14ac:dyDescent="0.25">
      <c r="A3715" s="2"/>
      <c r="B3715" s="2"/>
      <c r="F3715" s="1"/>
      <c r="G3715" s="1"/>
      <c r="I3715" s="1"/>
      <c r="J3715" s="1"/>
      <c r="L3715" s="1"/>
      <c r="M3715" s="1"/>
      <c r="O3715" s="2"/>
      <c r="P3715" s="2"/>
    </row>
    <row r="3716" spans="1:16" x14ac:dyDescent="0.25">
      <c r="A3716" s="2"/>
      <c r="B3716" s="2"/>
      <c r="F3716" s="1"/>
      <c r="G3716" s="1"/>
      <c r="I3716" s="1"/>
      <c r="J3716" s="1"/>
      <c r="L3716" s="1"/>
      <c r="M3716" s="1"/>
      <c r="O3716" s="2"/>
      <c r="P3716" s="2"/>
    </row>
    <row r="3717" spans="1:16" x14ac:dyDescent="0.25">
      <c r="A3717" s="2"/>
      <c r="B3717" s="2"/>
      <c r="F3717" s="1"/>
      <c r="G3717" s="1"/>
      <c r="I3717" s="1"/>
      <c r="J3717" s="1"/>
      <c r="L3717" s="1"/>
      <c r="M3717" s="1"/>
      <c r="O3717" s="2"/>
      <c r="P3717" s="2"/>
    </row>
    <row r="3718" spans="1:16" x14ac:dyDescent="0.25">
      <c r="A3718" s="2"/>
      <c r="B3718" s="2"/>
      <c r="F3718" s="1"/>
      <c r="G3718" s="1"/>
      <c r="I3718" s="1"/>
      <c r="J3718" s="1"/>
      <c r="L3718" s="1"/>
      <c r="M3718" s="1"/>
      <c r="O3718" s="2"/>
      <c r="P3718" s="2"/>
    </row>
    <row r="3719" spans="1:16" x14ac:dyDescent="0.25">
      <c r="A3719" s="2"/>
      <c r="B3719" s="2"/>
      <c r="F3719" s="1"/>
      <c r="G3719" s="1"/>
      <c r="I3719" s="1"/>
      <c r="J3719" s="1"/>
      <c r="L3719" s="1"/>
      <c r="M3719" s="1"/>
      <c r="O3719" s="2"/>
      <c r="P3719" s="2"/>
    </row>
    <row r="3720" spans="1:16" x14ac:dyDescent="0.25">
      <c r="A3720" s="2"/>
      <c r="B3720" s="2"/>
      <c r="F3720" s="1"/>
      <c r="G3720" s="1"/>
      <c r="I3720" s="1"/>
      <c r="J3720" s="1"/>
      <c r="L3720" s="1"/>
      <c r="M3720" s="1"/>
      <c r="O3720" s="2"/>
      <c r="P3720" s="2"/>
    </row>
    <row r="3721" spans="1:16" x14ac:dyDescent="0.25">
      <c r="A3721" s="2"/>
      <c r="B3721" s="2"/>
      <c r="F3721" s="1"/>
      <c r="G3721" s="1"/>
      <c r="I3721" s="1"/>
      <c r="J3721" s="1"/>
      <c r="L3721" s="1"/>
      <c r="M3721" s="1"/>
      <c r="O3721" s="2"/>
      <c r="P3721" s="2"/>
    </row>
    <row r="3722" spans="1:16" x14ac:dyDescent="0.25">
      <c r="A3722" s="2"/>
      <c r="B3722" s="2"/>
      <c r="F3722" s="1"/>
      <c r="G3722" s="1"/>
      <c r="I3722" s="1"/>
      <c r="J3722" s="1"/>
      <c r="L3722" s="1"/>
      <c r="M3722" s="1"/>
      <c r="O3722" s="2"/>
      <c r="P3722" s="2"/>
    </row>
    <row r="3723" spans="1:16" x14ac:dyDescent="0.25">
      <c r="A3723" s="2"/>
      <c r="B3723" s="2"/>
      <c r="F3723" s="1"/>
      <c r="G3723" s="1"/>
      <c r="I3723" s="1"/>
      <c r="J3723" s="1"/>
      <c r="L3723" s="1"/>
      <c r="M3723" s="1"/>
      <c r="O3723" s="2"/>
      <c r="P3723" s="2"/>
    </row>
    <row r="3724" spans="1:16" x14ac:dyDescent="0.25">
      <c r="A3724" s="2"/>
      <c r="B3724" s="2"/>
      <c r="F3724" s="1"/>
      <c r="G3724" s="1"/>
      <c r="I3724" s="1"/>
      <c r="J3724" s="1"/>
      <c r="L3724" s="1"/>
      <c r="M3724" s="1"/>
      <c r="O3724" s="2"/>
      <c r="P3724" s="2"/>
    </row>
    <row r="3725" spans="1:16" x14ac:dyDescent="0.25">
      <c r="A3725" s="2"/>
      <c r="B3725" s="2"/>
      <c r="F3725" s="1"/>
      <c r="G3725" s="1"/>
      <c r="I3725" s="1"/>
      <c r="J3725" s="1"/>
      <c r="L3725" s="1"/>
      <c r="M3725" s="1"/>
      <c r="O3725" s="2"/>
      <c r="P3725" s="2"/>
    </row>
    <row r="3726" spans="1:16" x14ac:dyDescent="0.25">
      <c r="A3726" s="2"/>
      <c r="B3726" s="2"/>
      <c r="F3726" s="1"/>
      <c r="G3726" s="1"/>
      <c r="I3726" s="1"/>
      <c r="J3726" s="1"/>
      <c r="L3726" s="1"/>
      <c r="M3726" s="1"/>
      <c r="O3726" s="2"/>
      <c r="P3726" s="2"/>
    </row>
    <row r="3727" spans="1:16" x14ac:dyDescent="0.25">
      <c r="A3727" s="2"/>
      <c r="B3727" s="2"/>
      <c r="F3727" s="1"/>
      <c r="G3727" s="1"/>
      <c r="I3727" s="1"/>
      <c r="J3727" s="1"/>
      <c r="L3727" s="1"/>
      <c r="M3727" s="1"/>
      <c r="O3727" s="2"/>
      <c r="P3727" s="2"/>
    </row>
    <row r="3728" spans="1:16" x14ac:dyDescent="0.25">
      <c r="A3728" s="2"/>
      <c r="B3728" s="2"/>
      <c r="F3728" s="1"/>
      <c r="G3728" s="1"/>
      <c r="I3728" s="1"/>
      <c r="J3728" s="1"/>
      <c r="L3728" s="1"/>
      <c r="M3728" s="1"/>
      <c r="O3728" s="2"/>
      <c r="P3728" s="2"/>
    </row>
    <row r="3729" spans="1:16" x14ac:dyDescent="0.25">
      <c r="A3729" s="2"/>
      <c r="B3729" s="2"/>
      <c r="F3729" s="1"/>
      <c r="G3729" s="1"/>
      <c r="I3729" s="1"/>
      <c r="J3729" s="1"/>
      <c r="L3729" s="1"/>
      <c r="M3729" s="1"/>
      <c r="O3729" s="2"/>
      <c r="P3729" s="2"/>
    </row>
    <row r="3730" spans="1:16" x14ac:dyDescent="0.25">
      <c r="A3730" s="2"/>
      <c r="B3730" s="2"/>
      <c r="F3730" s="1"/>
      <c r="G3730" s="1"/>
      <c r="I3730" s="1"/>
      <c r="J3730" s="1"/>
      <c r="L3730" s="1"/>
      <c r="M3730" s="1"/>
      <c r="O3730" s="2"/>
      <c r="P3730" s="2"/>
    </row>
    <row r="3731" spans="1:16" x14ac:dyDescent="0.25">
      <c r="A3731" s="2"/>
      <c r="B3731" s="2"/>
      <c r="F3731" s="1"/>
      <c r="G3731" s="1"/>
      <c r="I3731" s="1"/>
      <c r="J3731" s="1"/>
      <c r="L3731" s="1"/>
      <c r="M3731" s="1"/>
      <c r="O3731" s="2"/>
      <c r="P3731" s="2"/>
    </row>
    <row r="3732" spans="1:16" x14ac:dyDescent="0.25">
      <c r="A3732" s="2"/>
      <c r="B3732" s="2"/>
      <c r="F3732" s="1"/>
      <c r="G3732" s="1"/>
      <c r="I3732" s="1"/>
      <c r="J3732" s="1"/>
      <c r="L3732" s="1"/>
      <c r="M3732" s="1"/>
      <c r="O3732" s="2"/>
      <c r="P3732" s="2"/>
    </row>
    <row r="3733" spans="1:16" x14ac:dyDescent="0.25">
      <c r="A3733" s="2"/>
      <c r="B3733" s="2"/>
      <c r="F3733" s="1"/>
      <c r="G3733" s="1"/>
      <c r="I3733" s="1"/>
      <c r="J3733" s="1"/>
      <c r="L3733" s="1"/>
      <c r="M3733" s="1"/>
      <c r="O3733" s="2"/>
      <c r="P3733" s="2"/>
    </row>
    <row r="3734" spans="1:16" x14ac:dyDescent="0.25">
      <c r="A3734" s="2"/>
      <c r="B3734" s="2"/>
      <c r="F3734" s="1"/>
      <c r="G3734" s="1"/>
      <c r="I3734" s="1"/>
      <c r="J3734" s="1"/>
      <c r="L3734" s="1"/>
      <c r="M3734" s="1"/>
      <c r="O3734" s="2"/>
      <c r="P3734" s="2"/>
    </row>
    <row r="3735" spans="1:16" x14ac:dyDescent="0.25">
      <c r="A3735" s="2"/>
      <c r="B3735" s="2"/>
      <c r="F3735" s="1"/>
      <c r="G3735" s="1"/>
      <c r="I3735" s="1"/>
      <c r="J3735" s="1"/>
      <c r="L3735" s="1"/>
      <c r="M3735" s="1"/>
      <c r="O3735" s="2"/>
      <c r="P3735" s="2"/>
    </row>
    <row r="3736" spans="1:16" x14ac:dyDescent="0.25">
      <c r="A3736" s="2"/>
      <c r="B3736" s="2"/>
      <c r="F3736" s="1"/>
      <c r="G3736" s="1"/>
      <c r="I3736" s="1"/>
      <c r="J3736" s="1"/>
      <c r="L3736" s="1"/>
      <c r="M3736" s="1"/>
      <c r="O3736" s="2"/>
      <c r="P3736" s="2"/>
    </row>
    <row r="3737" spans="1:16" x14ac:dyDescent="0.25">
      <c r="A3737" s="2"/>
      <c r="B3737" s="2"/>
      <c r="F3737" s="1"/>
      <c r="G3737" s="1"/>
      <c r="I3737" s="1"/>
      <c r="J3737" s="1"/>
      <c r="L3737" s="1"/>
      <c r="M3737" s="1"/>
      <c r="O3737" s="2"/>
      <c r="P3737" s="2"/>
    </row>
    <row r="3738" spans="1:16" x14ac:dyDescent="0.25">
      <c r="A3738" s="2"/>
      <c r="B3738" s="2"/>
      <c r="F3738" s="1"/>
      <c r="G3738" s="1"/>
      <c r="I3738" s="1"/>
      <c r="J3738" s="1"/>
      <c r="L3738" s="1"/>
      <c r="M3738" s="1"/>
      <c r="O3738" s="2"/>
      <c r="P3738" s="2"/>
    </row>
    <row r="3739" spans="1:16" x14ac:dyDescent="0.25">
      <c r="A3739" s="2"/>
      <c r="B3739" s="2"/>
      <c r="F3739" s="1"/>
      <c r="G3739" s="1"/>
      <c r="I3739" s="1"/>
      <c r="J3739" s="1"/>
      <c r="L3739" s="1"/>
      <c r="M3739" s="1"/>
      <c r="O3739" s="2"/>
      <c r="P3739" s="2"/>
    </row>
    <row r="3740" spans="1:16" x14ac:dyDescent="0.25">
      <c r="A3740" s="2"/>
      <c r="B3740" s="2"/>
      <c r="F3740" s="1"/>
      <c r="G3740" s="1"/>
      <c r="I3740" s="1"/>
      <c r="J3740" s="1"/>
      <c r="L3740" s="1"/>
      <c r="M3740" s="1"/>
      <c r="O3740" s="2"/>
      <c r="P3740" s="2"/>
    </row>
    <row r="3741" spans="1:16" x14ac:dyDescent="0.25">
      <c r="A3741" s="2"/>
      <c r="B3741" s="2"/>
      <c r="F3741" s="1"/>
      <c r="G3741" s="1"/>
      <c r="I3741" s="1"/>
      <c r="J3741" s="1"/>
      <c r="L3741" s="1"/>
      <c r="M3741" s="1"/>
      <c r="O3741" s="2"/>
      <c r="P3741" s="2"/>
    </row>
    <row r="3742" spans="1:16" x14ac:dyDescent="0.25">
      <c r="A3742" s="2"/>
      <c r="B3742" s="2"/>
      <c r="F3742" s="1"/>
      <c r="G3742" s="1"/>
      <c r="I3742" s="1"/>
      <c r="J3742" s="1"/>
      <c r="L3742" s="1"/>
      <c r="M3742" s="1"/>
      <c r="O3742" s="2"/>
      <c r="P3742" s="2"/>
    </row>
    <row r="3743" spans="1:16" x14ac:dyDescent="0.25">
      <c r="A3743" s="2"/>
      <c r="B3743" s="2"/>
      <c r="F3743" s="1"/>
      <c r="G3743" s="1"/>
      <c r="I3743" s="1"/>
      <c r="J3743" s="1"/>
      <c r="L3743" s="1"/>
      <c r="M3743" s="1"/>
      <c r="O3743" s="2"/>
      <c r="P3743" s="2"/>
    </row>
    <row r="3744" spans="1:16" x14ac:dyDescent="0.25">
      <c r="A3744" s="2"/>
      <c r="B3744" s="2"/>
      <c r="F3744" s="1"/>
      <c r="G3744" s="1"/>
      <c r="I3744" s="1"/>
      <c r="J3744" s="1"/>
      <c r="L3744" s="1"/>
      <c r="M3744" s="1"/>
      <c r="O3744" s="2"/>
      <c r="P3744" s="2"/>
    </row>
    <row r="3745" spans="1:16" x14ac:dyDescent="0.25">
      <c r="A3745" s="2"/>
      <c r="B3745" s="2"/>
      <c r="F3745" s="1"/>
      <c r="G3745" s="1"/>
      <c r="I3745" s="1"/>
      <c r="J3745" s="1"/>
      <c r="L3745" s="1"/>
      <c r="M3745" s="1"/>
      <c r="O3745" s="2"/>
      <c r="P3745" s="2"/>
    </row>
    <row r="3746" spans="1:16" x14ac:dyDescent="0.25">
      <c r="A3746" s="2"/>
      <c r="B3746" s="2"/>
      <c r="F3746" s="1"/>
      <c r="G3746" s="1"/>
      <c r="I3746" s="1"/>
      <c r="J3746" s="1"/>
      <c r="L3746" s="1"/>
      <c r="M3746" s="1"/>
      <c r="O3746" s="2"/>
      <c r="P3746" s="2"/>
    </row>
    <row r="3747" spans="1:16" x14ac:dyDescent="0.25">
      <c r="A3747" s="2"/>
      <c r="B3747" s="2"/>
      <c r="F3747" s="1"/>
      <c r="G3747" s="1"/>
      <c r="I3747" s="1"/>
      <c r="J3747" s="1"/>
      <c r="L3747" s="1"/>
      <c r="M3747" s="1"/>
      <c r="O3747" s="2"/>
      <c r="P3747" s="2"/>
    </row>
    <row r="3748" spans="1:16" x14ac:dyDescent="0.25">
      <c r="A3748" s="2"/>
      <c r="B3748" s="2"/>
      <c r="F3748" s="1"/>
      <c r="G3748" s="1"/>
      <c r="I3748" s="1"/>
      <c r="J3748" s="1"/>
      <c r="L3748" s="1"/>
      <c r="M3748" s="1"/>
      <c r="O3748" s="2"/>
      <c r="P3748" s="2"/>
    </row>
    <row r="3749" spans="1:16" x14ac:dyDescent="0.25">
      <c r="A3749" s="2"/>
      <c r="B3749" s="2"/>
      <c r="F3749" s="1"/>
      <c r="G3749" s="1"/>
      <c r="I3749" s="1"/>
      <c r="J3749" s="1"/>
      <c r="L3749" s="1"/>
      <c r="M3749" s="1"/>
      <c r="O3749" s="2"/>
      <c r="P3749" s="2"/>
    </row>
    <row r="3750" spans="1:16" x14ac:dyDescent="0.25">
      <c r="A3750" s="2"/>
      <c r="B3750" s="2"/>
      <c r="F3750" s="1"/>
      <c r="G3750" s="1"/>
      <c r="I3750" s="1"/>
      <c r="J3750" s="1"/>
      <c r="L3750" s="1"/>
      <c r="M3750" s="1"/>
      <c r="O3750" s="2"/>
      <c r="P3750" s="2"/>
    </row>
    <row r="3751" spans="1:16" x14ac:dyDescent="0.25">
      <c r="A3751" s="2"/>
      <c r="B3751" s="2"/>
      <c r="F3751" s="1"/>
      <c r="G3751" s="1"/>
      <c r="I3751" s="1"/>
      <c r="J3751" s="1"/>
      <c r="L3751" s="1"/>
      <c r="M3751" s="1"/>
      <c r="O3751" s="2"/>
      <c r="P3751" s="2"/>
    </row>
    <row r="3752" spans="1:16" x14ac:dyDescent="0.25">
      <c r="A3752" s="2"/>
      <c r="B3752" s="2"/>
      <c r="F3752" s="1"/>
      <c r="G3752" s="1"/>
      <c r="I3752" s="1"/>
      <c r="J3752" s="1"/>
      <c r="L3752" s="1"/>
      <c r="M3752" s="1"/>
      <c r="O3752" s="2"/>
      <c r="P3752" s="2"/>
    </row>
    <row r="3753" spans="1:16" x14ac:dyDescent="0.25">
      <c r="A3753" s="2"/>
      <c r="B3753" s="2"/>
      <c r="F3753" s="1"/>
      <c r="G3753" s="1"/>
      <c r="I3753" s="1"/>
      <c r="J3753" s="1"/>
      <c r="L3753" s="1"/>
      <c r="M3753" s="1"/>
      <c r="O3753" s="2"/>
      <c r="P3753" s="2"/>
    </row>
    <row r="3754" spans="1:16" x14ac:dyDescent="0.25">
      <c r="A3754" s="2"/>
      <c r="B3754" s="2"/>
      <c r="F3754" s="1"/>
      <c r="G3754" s="1"/>
      <c r="I3754" s="1"/>
      <c r="J3754" s="1"/>
      <c r="L3754" s="1"/>
      <c r="M3754" s="1"/>
      <c r="O3754" s="2"/>
      <c r="P3754" s="2"/>
    </row>
    <row r="3755" spans="1:16" x14ac:dyDescent="0.25">
      <c r="A3755" s="2"/>
      <c r="B3755" s="2"/>
      <c r="F3755" s="1"/>
      <c r="G3755" s="1"/>
      <c r="I3755" s="1"/>
      <c r="J3755" s="1"/>
      <c r="L3755" s="1"/>
      <c r="M3755" s="1"/>
      <c r="O3755" s="2"/>
      <c r="P3755" s="2"/>
    </row>
    <row r="3756" spans="1:16" x14ac:dyDescent="0.25">
      <c r="A3756" s="2"/>
      <c r="B3756" s="2"/>
      <c r="F3756" s="1"/>
      <c r="G3756" s="1"/>
      <c r="I3756" s="1"/>
      <c r="J3756" s="1"/>
      <c r="L3756" s="1"/>
      <c r="M3756" s="1"/>
      <c r="O3756" s="2"/>
      <c r="P3756" s="2"/>
    </row>
    <row r="3757" spans="1:16" x14ac:dyDescent="0.25">
      <c r="A3757" s="2"/>
      <c r="B3757" s="2"/>
      <c r="F3757" s="1"/>
      <c r="G3757" s="1"/>
      <c r="I3757" s="1"/>
      <c r="J3757" s="1"/>
      <c r="L3757" s="1"/>
      <c r="M3757" s="1"/>
      <c r="O3757" s="2"/>
      <c r="P3757" s="2"/>
    </row>
    <row r="3758" spans="1:16" x14ac:dyDescent="0.25">
      <c r="A3758" s="2"/>
      <c r="B3758" s="2"/>
      <c r="F3758" s="1"/>
      <c r="G3758" s="1"/>
      <c r="I3758" s="1"/>
      <c r="J3758" s="1"/>
      <c r="L3758" s="1"/>
      <c r="M3758" s="1"/>
      <c r="O3758" s="2"/>
      <c r="P3758" s="2"/>
    </row>
    <row r="3759" spans="1:16" x14ac:dyDescent="0.25">
      <c r="A3759" s="2"/>
      <c r="B3759" s="2"/>
      <c r="F3759" s="1"/>
      <c r="G3759" s="1"/>
      <c r="I3759" s="1"/>
      <c r="J3759" s="1"/>
      <c r="L3759" s="1"/>
      <c r="M3759" s="1"/>
      <c r="O3759" s="2"/>
      <c r="P3759" s="2"/>
    </row>
    <row r="3760" spans="1:16" x14ac:dyDescent="0.25">
      <c r="A3760" s="2"/>
      <c r="B3760" s="2"/>
      <c r="F3760" s="1"/>
      <c r="G3760" s="1"/>
      <c r="I3760" s="1"/>
      <c r="J3760" s="1"/>
      <c r="L3760" s="1"/>
      <c r="M3760" s="1"/>
      <c r="O3760" s="2"/>
      <c r="P3760" s="2"/>
    </row>
    <row r="3761" spans="1:16" x14ac:dyDescent="0.25">
      <c r="A3761" s="2"/>
      <c r="B3761" s="2"/>
      <c r="F3761" s="1"/>
      <c r="G3761" s="1"/>
      <c r="I3761" s="1"/>
      <c r="J3761" s="1"/>
      <c r="L3761" s="1"/>
      <c r="M3761" s="1"/>
      <c r="O3761" s="2"/>
      <c r="P3761" s="2"/>
    </row>
    <row r="3762" spans="1:16" x14ac:dyDescent="0.25">
      <c r="A3762" s="2"/>
      <c r="B3762" s="2"/>
      <c r="F3762" s="1"/>
      <c r="G3762" s="1"/>
      <c r="I3762" s="1"/>
      <c r="J3762" s="1"/>
      <c r="L3762" s="1"/>
      <c r="M3762" s="1"/>
      <c r="O3762" s="2"/>
      <c r="P3762" s="2"/>
    </row>
    <row r="3763" spans="1:16" x14ac:dyDescent="0.25">
      <c r="A3763" s="2"/>
      <c r="B3763" s="2"/>
      <c r="F3763" s="1"/>
      <c r="G3763" s="1"/>
      <c r="I3763" s="1"/>
      <c r="J3763" s="1"/>
      <c r="L3763" s="1"/>
      <c r="M3763" s="1"/>
      <c r="O3763" s="2"/>
      <c r="P3763" s="2"/>
    </row>
    <row r="3764" spans="1:16" x14ac:dyDescent="0.25">
      <c r="A3764" s="2"/>
      <c r="B3764" s="2"/>
      <c r="F3764" s="1"/>
      <c r="G3764" s="1"/>
      <c r="I3764" s="1"/>
      <c r="J3764" s="1"/>
      <c r="L3764" s="1"/>
      <c r="M3764" s="1"/>
      <c r="O3764" s="2"/>
      <c r="P3764" s="2"/>
    </row>
    <row r="3765" spans="1:16" x14ac:dyDescent="0.25">
      <c r="A3765" s="2"/>
      <c r="B3765" s="2"/>
      <c r="F3765" s="1"/>
      <c r="G3765" s="1"/>
      <c r="I3765" s="1"/>
      <c r="J3765" s="1"/>
      <c r="L3765" s="1"/>
      <c r="M3765" s="1"/>
      <c r="O3765" s="2"/>
      <c r="P3765" s="2"/>
    </row>
    <row r="3766" spans="1:16" x14ac:dyDescent="0.25">
      <c r="A3766" s="2"/>
      <c r="B3766" s="2"/>
      <c r="F3766" s="1"/>
      <c r="G3766" s="1"/>
      <c r="I3766" s="1"/>
      <c r="J3766" s="1"/>
      <c r="L3766" s="1"/>
      <c r="M3766" s="1"/>
      <c r="O3766" s="2"/>
      <c r="P3766" s="2"/>
    </row>
    <row r="3767" spans="1:16" x14ac:dyDescent="0.25">
      <c r="A3767" s="2"/>
      <c r="B3767" s="2"/>
      <c r="F3767" s="1"/>
      <c r="G3767" s="1"/>
      <c r="I3767" s="1"/>
      <c r="J3767" s="1"/>
      <c r="L3767" s="1"/>
      <c r="M3767" s="1"/>
      <c r="O3767" s="2"/>
      <c r="P3767" s="2"/>
    </row>
    <row r="3768" spans="1:16" x14ac:dyDescent="0.25">
      <c r="A3768" s="2"/>
      <c r="B3768" s="2"/>
      <c r="F3768" s="1"/>
      <c r="G3768" s="1"/>
      <c r="I3768" s="1"/>
      <c r="J3768" s="1"/>
      <c r="L3768" s="1"/>
      <c r="M3768" s="1"/>
      <c r="O3768" s="2"/>
      <c r="P3768" s="2"/>
    </row>
    <row r="3769" spans="1:16" x14ac:dyDescent="0.25">
      <c r="A3769" s="2"/>
      <c r="B3769" s="2"/>
      <c r="F3769" s="1"/>
      <c r="G3769" s="1"/>
      <c r="I3769" s="1"/>
      <c r="J3769" s="1"/>
      <c r="L3769" s="1"/>
      <c r="M3769" s="1"/>
      <c r="O3769" s="2"/>
      <c r="P3769" s="2"/>
    </row>
    <row r="3770" spans="1:16" x14ac:dyDescent="0.25">
      <c r="A3770" s="2"/>
      <c r="B3770" s="2"/>
      <c r="F3770" s="1"/>
      <c r="G3770" s="1"/>
      <c r="I3770" s="1"/>
      <c r="J3770" s="1"/>
      <c r="L3770" s="1"/>
      <c r="M3770" s="1"/>
      <c r="O3770" s="2"/>
      <c r="P3770" s="2"/>
    </row>
    <row r="3771" spans="1:16" x14ac:dyDescent="0.25">
      <c r="A3771" s="2"/>
      <c r="B3771" s="2"/>
      <c r="F3771" s="1"/>
      <c r="G3771" s="1"/>
      <c r="I3771" s="1"/>
      <c r="J3771" s="1"/>
      <c r="L3771" s="1"/>
      <c r="M3771" s="1"/>
      <c r="O3771" s="2"/>
      <c r="P3771" s="2"/>
    </row>
    <row r="3772" spans="1:16" x14ac:dyDescent="0.25">
      <c r="A3772" s="2"/>
      <c r="B3772" s="2"/>
      <c r="F3772" s="1"/>
      <c r="G3772" s="1"/>
      <c r="I3772" s="1"/>
      <c r="J3772" s="1"/>
      <c r="L3772" s="1"/>
      <c r="M3772" s="1"/>
      <c r="O3772" s="2"/>
      <c r="P3772" s="2"/>
    </row>
    <row r="3773" spans="1:16" x14ac:dyDescent="0.25">
      <c r="A3773" s="2"/>
      <c r="B3773" s="2"/>
      <c r="F3773" s="1"/>
      <c r="G3773" s="1"/>
      <c r="I3773" s="1"/>
      <c r="J3773" s="1"/>
      <c r="L3773" s="1"/>
      <c r="M3773" s="1"/>
      <c r="O3773" s="2"/>
      <c r="P3773" s="2"/>
    </row>
    <row r="3774" spans="1:16" x14ac:dyDescent="0.25">
      <c r="A3774" s="2"/>
      <c r="B3774" s="2"/>
      <c r="F3774" s="1"/>
      <c r="G3774" s="1"/>
      <c r="I3774" s="1"/>
      <c r="J3774" s="1"/>
      <c r="L3774" s="1"/>
      <c r="M3774" s="1"/>
      <c r="O3774" s="2"/>
      <c r="P3774" s="2"/>
    </row>
    <row r="3775" spans="1:16" x14ac:dyDescent="0.25">
      <c r="A3775" s="2"/>
      <c r="B3775" s="2"/>
      <c r="F3775" s="1"/>
      <c r="G3775" s="1"/>
      <c r="I3775" s="1"/>
      <c r="J3775" s="1"/>
      <c r="L3775" s="1"/>
      <c r="M3775" s="1"/>
      <c r="O3775" s="2"/>
      <c r="P3775" s="2"/>
    </row>
    <row r="3776" spans="1:16" x14ac:dyDescent="0.25">
      <c r="A3776" s="2"/>
      <c r="B3776" s="2"/>
      <c r="F3776" s="1"/>
      <c r="G3776" s="1"/>
      <c r="I3776" s="1"/>
      <c r="J3776" s="1"/>
      <c r="L3776" s="1"/>
      <c r="M3776" s="1"/>
      <c r="O3776" s="2"/>
      <c r="P3776" s="2"/>
    </row>
    <row r="3777" spans="1:16" x14ac:dyDescent="0.25">
      <c r="A3777" s="2"/>
      <c r="B3777" s="2"/>
      <c r="F3777" s="1"/>
      <c r="G3777" s="1"/>
      <c r="I3777" s="1"/>
      <c r="J3777" s="1"/>
      <c r="L3777" s="1"/>
      <c r="M3777" s="1"/>
      <c r="O3777" s="2"/>
      <c r="P3777" s="2"/>
    </row>
    <row r="3778" spans="1:16" x14ac:dyDescent="0.25">
      <c r="A3778" s="2"/>
      <c r="B3778" s="2"/>
      <c r="F3778" s="1"/>
      <c r="G3778" s="1"/>
      <c r="I3778" s="1"/>
      <c r="J3778" s="1"/>
      <c r="L3778" s="1"/>
      <c r="M3778" s="1"/>
      <c r="O3778" s="2"/>
      <c r="P3778" s="2"/>
    </row>
    <row r="3779" spans="1:16" x14ac:dyDescent="0.25">
      <c r="A3779" s="2"/>
      <c r="B3779" s="2"/>
      <c r="F3779" s="1"/>
      <c r="G3779" s="1"/>
      <c r="I3779" s="1"/>
      <c r="J3779" s="1"/>
      <c r="L3779" s="1"/>
      <c r="M3779" s="1"/>
      <c r="O3779" s="2"/>
      <c r="P3779" s="2"/>
    </row>
    <row r="3780" spans="1:16" x14ac:dyDescent="0.25">
      <c r="A3780" s="2"/>
      <c r="B3780" s="2"/>
      <c r="F3780" s="1"/>
      <c r="G3780" s="1"/>
      <c r="I3780" s="1"/>
      <c r="J3780" s="1"/>
      <c r="L3780" s="1"/>
      <c r="M3780" s="1"/>
      <c r="O3780" s="2"/>
      <c r="P3780" s="2"/>
    </row>
    <row r="3781" spans="1:16" x14ac:dyDescent="0.25">
      <c r="A3781" s="2"/>
      <c r="B3781" s="2"/>
      <c r="F3781" s="1"/>
      <c r="G3781" s="1"/>
      <c r="I3781" s="1"/>
      <c r="J3781" s="1"/>
      <c r="L3781" s="1"/>
      <c r="M3781" s="1"/>
      <c r="O3781" s="2"/>
      <c r="P3781" s="2"/>
    </row>
    <row r="3782" spans="1:16" x14ac:dyDescent="0.25">
      <c r="A3782" s="2"/>
      <c r="B3782" s="2"/>
      <c r="F3782" s="1"/>
      <c r="G3782" s="1"/>
      <c r="I3782" s="1"/>
      <c r="J3782" s="1"/>
      <c r="L3782" s="1"/>
      <c r="M3782" s="1"/>
      <c r="O3782" s="2"/>
      <c r="P3782" s="2"/>
    </row>
    <row r="3783" spans="1:16" x14ac:dyDescent="0.25">
      <c r="A3783" s="2"/>
      <c r="B3783" s="2"/>
      <c r="F3783" s="1"/>
      <c r="G3783" s="1"/>
      <c r="I3783" s="1"/>
      <c r="J3783" s="1"/>
      <c r="L3783" s="1"/>
      <c r="M3783" s="1"/>
      <c r="O3783" s="2"/>
      <c r="P3783" s="2"/>
    </row>
    <row r="3784" spans="1:16" x14ac:dyDescent="0.25">
      <c r="A3784" s="2"/>
      <c r="B3784" s="2"/>
      <c r="F3784" s="1"/>
      <c r="G3784" s="1"/>
      <c r="I3784" s="1"/>
      <c r="J3784" s="1"/>
      <c r="L3784" s="1"/>
      <c r="M3784" s="1"/>
      <c r="O3784" s="2"/>
      <c r="P3784" s="2"/>
    </row>
    <row r="3785" spans="1:16" x14ac:dyDescent="0.25">
      <c r="A3785" s="2"/>
      <c r="B3785" s="2"/>
      <c r="F3785" s="1"/>
      <c r="G3785" s="1"/>
      <c r="I3785" s="1"/>
      <c r="J3785" s="1"/>
      <c r="L3785" s="1"/>
      <c r="M3785" s="1"/>
      <c r="O3785" s="2"/>
      <c r="P3785" s="2"/>
    </row>
    <row r="3786" spans="1:16" x14ac:dyDescent="0.25">
      <c r="A3786" s="2"/>
      <c r="B3786" s="2"/>
      <c r="F3786" s="1"/>
      <c r="G3786" s="1"/>
      <c r="I3786" s="1"/>
      <c r="J3786" s="1"/>
      <c r="L3786" s="1"/>
      <c r="M3786" s="1"/>
      <c r="O3786" s="2"/>
      <c r="P3786" s="2"/>
    </row>
    <row r="3787" spans="1:16" x14ac:dyDescent="0.25">
      <c r="A3787" s="2"/>
      <c r="B3787" s="2"/>
      <c r="F3787" s="1"/>
      <c r="G3787" s="1"/>
      <c r="I3787" s="1"/>
      <c r="J3787" s="1"/>
      <c r="L3787" s="1"/>
      <c r="M3787" s="1"/>
      <c r="O3787" s="2"/>
      <c r="P3787" s="2"/>
    </row>
    <row r="3788" spans="1:16" x14ac:dyDescent="0.25">
      <c r="A3788" s="2"/>
      <c r="B3788" s="2"/>
      <c r="F3788" s="1"/>
      <c r="G3788" s="1"/>
      <c r="I3788" s="1"/>
      <c r="J3788" s="1"/>
      <c r="L3788" s="1"/>
      <c r="M3788" s="1"/>
      <c r="O3788" s="2"/>
      <c r="P3788" s="2"/>
    </row>
    <row r="3789" spans="1:16" x14ac:dyDescent="0.25">
      <c r="A3789" s="2"/>
      <c r="B3789" s="2"/>
      <c r="F3789" s="1"/>
      <c r="G3789" s="1"/>
      <c r="I3789" s="1"/>
      <c r="J3789" s="1"/>
      <c r="L3789" s="1"/>
      <c r="M3789" s="1"/>
      <c r="O3789" s="2"/>
      <c r="P3789" s="2"/>
    </row>
    <row r="3790" spans="1:16" x14ac:dyDescent="0.25">
      <c r="A3790" s="2"/>
      <c r="B3790" s="2"/>
      <c r="F3790" s="1"/>
      <c r="G3790" s="1"/>
      <c r="I3790" s="1"/>
      <c r="J3790" s="1"/>
      <c r="L3790" s="1"/>
      <c r="M3790" s="1"/>
      <c r="O3790" s="2"/>
      <c r="P3790" s="2"/>
    </row>
    <row r="3791" spans="1:16" x14ac:dyDescent="0.25">
      <c r="A3791" s="2"/>
      <c r="B3791" s="2"/>
      <c r="F3791" s="1"/>
      <c r="G3791" s="1"/>
      <c r="I3791" s="1"/>
      <c r="J3791" s="1"/>
      <c r="L3791" s="1"/>
      <c r="M3791" s="1"/>
      <c r="O3791" s="2"/>
      <c r="P3791" s="2"/>
    </row>
    <row r="3792" spans="1:16" x14ac:dyDescent="0.25">
      <c r="A3792" s="2"/>
      <c r="B3792" s="2"/>
      <c r="F3792" s="1"/>
      <c r="G3792" s="1"/>
      <c r="I3792" s="1"/>
      <c r="J3792" s="1"/>
      <c r="L3792" s="1"/>
      <c r="M3792" s="1"/>
      <c r="O3792" s="2"/>
      <c r="P3792" s="2"/>
    </row>
    <row r="3793" spans="1:16" x14ac:dyDescent="0.25">
      <c r="A3793" s="2"/>
      <c r="B3793" s="2"/>
      <c r="F3793" s="1"/>
      <c r="G3793" s="1"/>
      <c r="I3793" s="1"/>
      <c r="J3793" s="1"/>
      <c r="L3793" s="1"/>
      <c r="M3793" s="1"/>
      <c r="O3793" s="2"/>
      <c r="P3793" s="2"/>
    </row>
    <row r="3794" spans="1:16" x14ac:dyDescent="0.25">
      <c r="A3794" s="2"/>
      <c r="B3794" s="2"/>
      <c r="F3794" s="1"/>
      <c r="G3794" s="1"/>
      <c r="I3794" s="1"/>
      <c r="J3794" s="1"/>
      <c r="L3794" s="1"/>
      <c r="M3794" s="1"/>
      <c r="O3794" s="2"/>
      <c r="P3794" s="2"/>
    </row>
    <row r="3795" spans="1:16" x14ac:dyDescent="0.25">
      <c r="A3795" s="2"/>
      <c r="B3795" s="2"/>
      <c r="F3795" s="1"/>
      <c r="G3795" s="1"/>
      <c r="I3795" s="1"/>
      <c r="J3795" s="1"/>
      <c r="L3795" s="1"/>
      <c r="M3795" s="1"/>
      <c r="O3795" s="2"/>
      <c r="P3795" s="2"/>
    </row>
    <row r="3796" spans="1:16" x14ac:dyDescent="0.25">
      <c r="A3796" s="2"/>
      <c r="B3796" s="2"/>
      <c r="F3796" s="1"/>
      <c r="G3796" s="1"/>
      <c r="I3796" s="1"/>
      <c r="J3796" s="1"/>
      <c r="L3796" s="1"/>
      <c r="M3796" s="1"/>
      <c r="O3796" s="2"/>
      <c r="P3796" s="2"/>
    </row>
    <row r="3797" spans="1:16" x14ac:dyDescent="0.25">
      <c r="A3797" s="2"/>
      <c r="B3797" s="2"/>
      <c r="F3797" s="1"/>
      <c r="G3797" s="1"/>
      <c r="I3797" s="1"/>
      <c r="J3797" s="1"/>
      <c r="L3797" s="1"/>
      <c r="M3797" s="1"/>
      <c r="O3797" s="2"/>
      <c r="P3797" s="2"/>
    </row>
    <row r="3798" spans="1:16" x14ac:dyDescent="0.25">
      <c r="A3798" s="2"/>
      <c r="B3798" s="2"/>
      <c r="F3798" s="1"/>
      <c r="G3798" s="1"/>
      <c r="I3798" s="1"/>
      <c r="J3798" s="1"/>
      <c r="L3798" s="1"/>
      <c r="M3798" s="1"/>
      <c r="O3798" s="2"/>
      <c r="P3798" s="2"/>
    </row>
    <row r="3799" spans="1:16" x14ac:dyDescent="0.25">
      <c r="A3799" s="2"/>
      <c r="B3799" s="2"/>
      <c r="F3799" s="1"/>
      <c r="G3799" s="1"/>
      <c r="I3799" s="1"/>
      <c r="J3799" s="1"/>
      <c r="L3799" s="1"/>
      <c r="M3799" s="1"/>
      <c r="O3799" s="2"/>
      <c r="P3799" s="2"/>
    </row>
    <row r="3800" spans="1:16" x14ac:dyDescent="0.25">
      <c r="A3800" s="2"/>
      <c r="B3800" s="2"/>
      <c r="F3800" s="1"/>
      <c r="G3800" s="1"/>
      <c r="I3800" s="1"/>
      <c r="J3800" s="1"/>
      <c r="L3800" s="1"/>
      <c r="M3800" s="1"/>
      <c r="O3800" s="2"/>
      <c r="P3800" s="2"/>
    </row>
    <row r="3801" spans="1:16" x14ac:dyDescent="0.25">
      <c r="A3801" s="2"/>
      <c r="B3801" s="2"/>
      <c r="F3801" s="1"/>
      <c r="G3801" s="1"/>
      <c r="I3801" s="1"/>
      <c r="J3801" s="1"/>
      <c r="L3801" s="1"/>
      <c r="M3801" s="1"/>
      <c r="O3801" s="2"/>
      <c r="P3801" s="2"/>
    </row>
    <row r="3802" spans="1:16" x14ac:dyDescent="0.25">
      <c r="A3802" s="2"/>
      <c r="B3802" s="2"/>
      <c r="F3802" s="1"/>
      <c r="G3802" s="1"/>
      <c r="I3802" s="1"/>
      <c r="J3802" s="1"/>
      <c r="L3802" s="1"/>
      <c r="M3802" s="1"/>
      <c r="O3802" s="2"/>
      <c r="P3802" s="2"/>
    </row>
    <row r="3803" spans="1:16" x14ac:dyDescent="0.25">
      <c r="A3803" s="2"/>
      <c r="B3803" s="2"/>
      <c r="F3803" s="1"/>
      <c r="G3803" s="1"/>
      <c r="I3803" s="1"/>
      <c r="J3803" s="1"/>
      <c r="L3803" s="1"/>
      <c r="M3803" s="1"/>
      <c r="O3803" s="2"/>
      <c r="P3803" s="2"/>
    </row>
    <row r="3804" spans="1:16" x14ac:dyDescent="0.25">
      <c r="A3804" s="2"/>
      <c r="B3804" s="2"/>
      <c r="F3804" s="1"/>
      <c r="G3804" s="1"/>
      <c r="I3804" s="1"/>
      <c r="J3804" s="1"/>
      <c r="L3804" s="1"/>
      <c r="M3804" s="1"/>
      <c r="O3804" s="2"/>
      <c r="P3804" s="2"/>
    </row>
    <row r="3805" spans="1:16" x14ac:dyDescent="0.25">
      <c r="A3805" s="2"/>
      <c r="B3805" s="2"/>
      <c r="F3805" s="1"/>
      <c r="G3805" s="1"/>
      <c r="I3805" s="1"/>
      <c r="J3805" s="1"/>
      <c r="L3805" s="1"/>
      <c r="M3805" s="1"/>
      <c r="O3805" s="2"/>
      <c r="P3805" s="2"/>
    </row>
    <row r="3806" spans="1:16" x14ac:dyDescent="0.25">
      <c r="A3806" s="2"/>
      <c r="B3806" s="2"/>
      <c r="F3806" s="1"/>
      <c r="G3806" s="1"/>
      <c r="I3806" s="1"/>
      <c r="J3806" s="1"/>
      <c r="L3806" s="1"/>
      <c r="M3806" s="1"/>
      <c r="O3806" s="2"/>
      <c r="P3806" s="2"/>
    </row>
    <row r="3807" spans="1:16" x14ac:dyDescent="0.25">
      <c r="A3807" s="2"/>
      <c r="B3807" s="2"/>
      <c r="F3807" s="1"/>
      <c r="G3807" s="1"/>
      <c r="I3807" s="1"/>
      <c r="J3807" s="1"/>
      <c r="L3807" s="1"/>
      <c r="M3807" s="1"/>
      <c r="O3807" s="2"/>
      <c r="P3807" s="2"/>
    </row>
    <row r="3808" spans="1:16" x14ac:dyDescent="0.25">
      <c r="A3808" s="2"/>
      <c r="B3808" s="2"/>
      <c r="F3808" s="1"/>
      <c r="G3808" s="1"/>
      <c r="I3808" s="1"/>
      <c r="J3808" s="1"/>
      <c r="L3808" s="1"/>
      <c r="M3808" s="1"/>
      <c r="O3808" s="2"/>
      <c r="P3808" s="2"/>
    </row>
    <row r="3809" spans="1:16" x14ac:dyDescent="0.25">
      <c r="A3809" s="2"/>
      <c r="B3809" s="2"/>
      <c r="F3809" s="1"/>
      <c r="G3809" s="1"/>
      <c r="I3809" s="1"/>
      <c r="J3809" s="1"/>
      <c r="L3809" s="1"/>
      <c r="M3809" s="1"/>
      <c r="O3809" s="2"/>
      <c r="P3809" s="2"/>
    </row>
    <row r="3810" spans="1:16" x14ac:dyDescent="0.25">
      <c r="A3810" s="2"/>
      <c r="B3810" s="2"/>
      <c r="F3810" s="1"/>
      <c r="G3810" s="1"/>
      <c r="I3810" s="1"/>
      <c r="J3810" s="1"/>
      <c r="L3810" s="1"/>
      <c r="M3810" s="1"/>
      <c r="O3810" s="2"/>
      <c r="P3810" s="2"/>
    </row>
    <row r="3811" spans="1:16" x14ac:dyDescent="0.25">
      <c r="A3811" s="2"/>
      <c r="B3811" s="2"/>
      <c r="F3811" s="1"/>
      <c r="G3811" s="1"/>
      <c r="I3811" s="1"/>
      <c r="J3811" s="1"/>
      <c r="L3811" s="1"/>
      <c r="M3811" s="1"/>
      <c r="O3811" s="2"/>
      <c r="P3811" s="2"/>
    </row>
    <row r="3812" spans="1:16" x14ac:dyDescent="0.25">
      <c r="A3812" s="2"/>
      <c r="B3812" s="2"/>
      <c r="F3812" s="1"/>
      <c r="G3812" s="1"/>
      <c r="I3812" s="1"/>
      <c r="J3812" s="1"/>
      <c r="L3812" s="1"/>
      <c r="M3812" s="1"/>
      <c r="O3812" s="2"/>
      <c r="P3812" s="2"/>
    </row>
    <row r="3813" spans="1:16" x14ac:dyDescent="0.25">
      <c r="A3813" s="2"/>
      <c r="B3813" s="2"/>
      <c r="F3813" s="1"/>
      <c r="G3813" s="1"/>
      <c r="I3813" s="1"/>
      <c r="J3813" s="1"/>
      <c r="L3813" s="1"/>
      <c r="M3813" s="1"/>
      <c r="O3813" s="2"/>
      <c r="P3813" s="2"/>
    </row>
    <row r="3814" spans="1:16" x14ac:dyDescent="0.25">
      <c r="A3814" s="2"/>
      <c r="B3814" s="2"/>
      <c r="F3814" s="1"/>
      <c r="G3814" s="1"/>
      <c r="I3814" s="1"/>
      <c r="J3814" s="1"/>
      <c r="L3814" s="1"/>
      <c r="M3814" s="1"/>
      <c r="O3814" s="2"/>
      <c r="P3814" s="2"/>
    </row>
    <row r="3815" spans="1:16" x14ac:dyDescent="0.25">
      <c r="A3815" s="2"/>
      <c r="B3815" s="2"/>
      <c r="F3815" s="1"/>
      <c r="G3815" s="1"/>
      <c r="I3815" s="1"/>
      <c r="J3815" s="1"/>
      <c r="L3815" s="1"/>
      <c r="M3815" s="1"/>
      <c r="O3815" s="2"/>
      <c r="P3815" s="2"/>
    </row>
    <row r="3816" spans="1:16" x14ac:dyDescent="0.25">
      <c r="A3816" s="2"/>
      <c r="B3816" s="2"/>
      <c r="F3816" s="1"/>
      <c r="G3816" s="1"/>
      <c r="I3816" s="1"/>
      <c r="J3816" s="1"/>
      <c r="L3816" s="1"/>
      <c r="M3816" s="1"/>
      <c r="O3816" s="2"/>
      <c r="P3816" s="2"/>
    </row>
    <row r="3817" spans="1:16" x14ac:dyDescent="0.25">
      <c r="A3817" s="2"/>
      <c r="B3817" s="2"/>
      <c r="F3817" s="1"/>
      <c r="G3817" s="1"/>
      <c r="I3817" s="1"/>
      <c r="J3817" s="1"/>
      <c r="L3817" s="1"/>
      <c r="M3817" s="1"/>
      <c r="O3817" s="2"/>
      <c r="P3817" s="2"/>
    </row>
    <row r="3818" spans="1:16" x14ac:dyDescent="0.25">
      <c r="A3818" s="2"/>
      <c r="B3818" s="2"/>
      <c r="F3818" s="1"/>
      <c r="G3818" s="1"/>
      <c r="I3818" s="1"/>
      <c r="J3818" s="1"/>
      <c r="L3818" s="1"/>
      <c r="M3818" s="1"/>
      <c r="O3818" s="2"/>
      <c r="P3818" s="2"/>
    </row>
    <row r="3819" spans="1:16" x14ac:dyDescent="0.25">
      <c r="A3819" s="2"/>
      <c r="B3819" s="2"/>
      <c r="F3819" s="1"/>
      <c r="G3819" s="1"/>
      <c r="I3819" s="1"/>
      <c r="J3819" s="1"/>
      <c r="L3819" s="1"/>
      <c r="M3819" s="1"/>
      <c r="O3819" s="2"/>
      <c r="P3819" s="2"/>
    </row>
    <row r="3820" spans="1:16" x14ac:dyDescent="0.25">
      <c r="A3820" s="2"/>
      <c r="B3820" s="2"/>
      <c r="F3820" s="1"/>
      <c r="G3820" s="1"/>
      <c r="I3820" s="1"/>
      <c r="J3820" s="1"/>
      <c r="L3820" s="1"/>
      <c r="M3820" s="1"/>
      <c r="O3820" s="2"/>
      <c r="P3820" s="2"/>
    </row>
    <row r="3821" spans="1:16" x14ac:dyDescent="0.25">
      <c r="A3821" s="2"/>
      <c r="B3821" s="2"/>
      <c r="F3821" s="1"/>
      <c r="G3821" s="1"/>
      <c r="I3821" s="1"/>
      <c r="J3821" s="1"/>
      <c r="L3821" s="1"/>
      <c r="M3821" s="1"/>
      <c r="O3821" s="2"/>
      <c r="P3821" s="2"/>
    </row>
    <row r="3822" spans="1:16" x14ac:dyDescent="0.25">
      <c r="A3822" s="2"/>
      <c r="B3822" s="2"/>
      <c r="F3822" s="1"/>
      <c r="G3822" s="1"/>
      <c r="I3822" s="1"/>
      <c r="J3822" s="1"/>
      <c r="L3822" s="1"/>
      <c r="M3822" s="1"/>
      <c r="O3822" s="2"/>
      <c r="P3822" s="2"/>
    </row>
    <row r="3823" spans="1:16" x14ac:dyDescent="0.25">
      <c r="A3823" s="2"/>
      <c r="B3823" s="2"/>
      <c r="F3823" s="1"/>
      <c r="G3823" s="1"/>
      <c r="I3823" s="1"/>
      <c r="J3823" s="1"/>
      <c r="L3823" s="1"/>
      <c r="M3823" s="1"/>
      <c r="O3823" s="2"/>
      <c r="P3823" s="2"/>
    </row>
    <row r="3824" spans="1:16" x14ac:dyDescent="0.25">
      <c r="A3824" s="2"/>
      <c r="B3824" s="2"/>
      <c r="F3824" s="1"/>
      <c r="G3824" s="1"/>
      <c r="I3824" s="1"/>
      <c r="J3824" s="1"/>
      <c r="L3824" s="1"/>
      <c r="M3824" s="1"/>
      <c r="O3824" s="2"/>
      <c r="P3824" s="2"/>
    </row>
    <row r="3825" spans="1:16" x14ac:dyDescent="0.25">
      <c r="A3825" s="2"/>
      <c r="B3825" s="2"/>
      <c r="F3825" s="1"/>
      <c r="G3825" s="1"/>
      <c r="I3825" s="1"/>
      <c r="J3825" s="1"/>
      <c r="L3825" s="1"/>
      <c r="M3825" s="1"/>
      <c r="O3825" s="2"/>
      <c r="P3825" s="2"/>
    </row>
    <row r="3826" spans="1:16" x14ac:dyDescent="0.25">
      <c r="A3826" s="2"/>
      <c r="B3826" s="2"/>
      <c r="F3826" s="1"/>
      <c r="G3826" s="1"/>
      <c r="I3826" s="1"/>
      <c r="J3826" s="1"/>
      <c r="L3826" s="1"/>
      <c r="M3826" s="1"/>
      <c r="O3826" s="2"/>
      <c r="P3826" s="2"/>
    </row>
    <row r="3827" spans="1:16" x14ac:dyDescent="0.25">
      <c r="A3827" s="2"/>
      <c r="B3827" s="2"/>
      <c r="F3827" s="1"/>
      <c r="G3827" s="1"/>
      <c r="I3827" s="1"/>
      <c r="J3827" s="1"/>
      <c r="L3827" s="1"/>
      <c r="M3827" s="1"/>
      <c r="O3827" s="2"/>
      <c r="P3827" s="2"/>
    </row>
    <row r="3828" spans="1:16" x14ac:dyDescent="0.25">
      <c r="A3828" s="2"/>
      <c r="B3828" s="2"/>
      <c r="F3828" s="1"/>
      <c r="G3828" s="1"/>
      <c r="I3828" s="1"/>
      <c r="J3828" s="1"/>
      <c r="L3828" s="1"/>
      <c r="M3828" s="1"/>
      <c r="O3828" s="2"/>
      <c r="P3828" s="2"/>
    </row>
    <row r="3829" spans="1:16" x14ac:dyDescent="0.25">
      <c r="A3829" s="2"/>
      <c r="B3829" s="2"/>
      <c r="F3829" s="1"/>
      <c r="G3829" s="1"/>
      <c r="I3829" s="1"/>
      <c r="J3829" s="1"/>
      <c r="L3829" s="1"/>
      <c r="M3829" s="1"/>
      <c r="O3829" s="2"/>
      <c r="P3829" s="2"/>
    </row>
    <row r="3830" spans="1:16" x14ac:dyDescent="0.25">
      <c r="A3830" s="2"/>
      <c r="B3830" s="2"/>
      <c r="F3830" s="1"/>
      <c r="G3830" s="1"/>
      <c r="I3830" s="1"/>
      <c r="J3830" s="1"/>
      <c r="L3830" s="1"/>
      <c r="M3830" s="1"/>
      <c r="O3830" s="2"/>
      <c r="P3830" s="2"/>
    </row>
    <row r="3831" spans="1:16" x14ac:dyDescent="0.25">
      <c r="A3831" s="2"/>
      <c r="B3831" s="2"/>
      <c r="F3831" s="1"/>
      <c r="G3831" s="1"/>
      <c r="I3831" s="1"/>
      <c r="J3831" s="1"/>
      <c r="L3831" s="1"/>
      <c r="M3831" s="1"/>
      <c r="O3831" s="2"/>
      <c r="P3831" s="2"/>
    </row>
    <row r="3832" spans="1:16" x14ac:dyDescent="0.25">
      <c r="A3832" s="2"/>
      <c r="B3832" s="2"/>
      <c r="F3832" s="1"/>
      <c r="G3832" s="1"/>
      <c r="I3832" s="1"/>
      <c r="J3832" s="1"/>
      <c r="L3832" s="1"/>
      <c r="M3832" s="1"/>
      <c r="O3832" s="2"/>
      <c r="P3832" s="2"/>
    </row>
    <row r="3833" spans="1:16" x14ac:dyDescent="0.25">
      <c r="A3833" s="2"/>
      <c r="B3833" s="2"/>
      <c r="F3833" s="1"/>
      <c r="G3833" s="1"/>
      <c r="I3833" s="1"/>
      <c r="J3833" s="1"/>
      <c r="L3833" s="1"/>
      <c r="M3833" s="1"/>
      <c r="O3833" s="2"/>
      <c r="P3833" s="2"/>
    </row>
    <row r="3834" spans="1:16" x14ac:dyDescent="0.25">
      <c r="A3834" s="2"/>
      <c r="B3834" s="2"/>
      <c r="F3834" s="1"/>
      <c r="G3834" s="1"/>
      <c r="I3834" s="1"/>
      <c r="J3834" s="1"/>
      <c r="L3834" s="1"/>
      <c r="M3834" s="1"/>
      <c r="O3834" s="2"/>
      <c r="P3834" s="2"/>
    </row>
    <row r="3835" spans="1:16" x14ac:dyDescent="0.25">
      <c r="A3835" s="2"/>
      <c r="B3835" s="2"/>
      <c r="F3835" s="1"/>
      <c r="G3835" s="1"/>
      <c r="I3835" s="1"/>
      <c r="J3835" s="1"/>
      <c r="L3835" s="1"/>
      <c r="M3835" s="1"/>
      <c r="O3835" s="2"/>
      <c r="P3835" s="2"/>
    </row>
    <row r="3836" spans="1:16" x14ac:dyDescent="0.25">
      <c r="A3836" s="2"/>
      <c r="B3836" s="2"/>
      <c r="F3836" s="1"/>
      <c r="G3836" s="1"/>
      <c r="I3836" s="1"/>
      <c r="J3836" s="1"/>
      <c r="L3836" s="1"/>
      <c r="M3836" s="1"/>
      <c r="O3836" s="2"/>
      <c r="P3836" s="2"/>
    </row>
    <row r="3837" spans="1:16" x14ac:dyDescent="0.25">
      <c r="A3837" s="2"/>
      <c r="B3837" s="2"/>
      <c r="F3837" s="1"/>
      <c r="G3837" s="1"/>
      <c r="I3837" s="1"/>
      <c r="J3837" s="1"/>
      <c r="L3837" s="1"/>
      <c r="M3837" s="1"/>
      <c r="O3837" s="2"/>
      <c r="P3837" s="2"/>
    </row>
    <row r="3838" spans="1:16" x14ac:dyDescent="0.25">
      <c r="A3838" s="2"/>
      <c r="B3838" s="2"/>
      <c r="F3838" s="1"/>
      <c r="G3838" s="1"/>
      <c r="I3838" s="1"/>
      <c r="J3838" s="1"/>
      <c r="L3838" s="1"/>
      <c r="M3838" s="1"/>
      <c r="O3838" s="2"/>
      <c r="P3838" s="2"/>
    </row>
    <row r="3839" spans="1:16" x14ac:dyDescent="0.25">
      <c r="A3839" s="2"/>
      <c r="B3839" s="2"/>
      <c r="F3839" s="1"/>
      <c r="G3839" s="1"/>
      <c r="I3839" s="1"/>
      <c r="J3839" s="1"/>
      <c r="L3839" s="1"/>
      <c r="M3839" s="1"/>
      <c r="O3839" s="2"/>
      <c r="P3839" s="2"/>
    </row>
    <row r="3840" spans="1:16" x14ac:dyDescent="0.25">
      <c r="A3840" s="2"/>
      <c r="B3840" s="2"/>
      <c r="F3840" s="1"/>
      <c r="G3840" s="1"/>
      <c r="I3840" s="1"/>
      <c r="J3840" s="1"/>
      <c r="L3840" s="1"/>
      <c r="M3840" s="1"/>
      <c r="O3840" s="2"/>
      <c r="P3840" s="2"/>
    </row>
    <row r="3841" spans="1:16" x14ac:dyDescent="0.25">
      <c r="A3841" s="2"/>
      <c r="B3841" s="2"/>
      <c r="F3841" s="1"/>
      <c r="G3841" s="1"/>
      <c r="I3841" s="1"/>
      <c r="J3841" s="1"/>
      <c r="L3841" s="1"/>
      <c r="M3841" s="1"/>
      <c r="O3841" s="2"/>
      <c r="P3841" s="2"/>
    </row>
    <row r="3842" spans="1:16" x14ac:dyDescent="0.25">
      <c r="A3842" s="2"/>
      <c r="B3842" s="2"/>
      <c r="F3842" s="1"/>
      <c r="G3842" s="1"/>
      <c r="I3842" s="1"/>
      <c r="J3842" s="1"/>
      <c r="L3842" s="1"/>
      <c r="M3842" s="1"/>
      <c r="O3842" s="2"/>
      <c r="P3842" s="2"/>
    </row>
    <row r="3843" spans="1:16" x14ac:dyDescent="0.25">
      <c r="A3843" s="2"/>
      <c r="B3843" s="2"/>
      <c r="F3843" s="1"/>
      <c r="G3843" s="1"/>
      <c r="I3843" s="1"/>
      <c r="J3843" s="1"/>
      <c r="L3843" s="1"/>
      <c r="M3843" s="1"/>
      <c r="O3843" s="2"/>
      <c r="P3843" s="2"/>
    </row>
    <row r="3844" spans="1:16" x14ac:dyDescent="0.25">
      <c r="A3844" s="2"/>
      <c r="B3844" s="2"/>
      <c r="F3844" s="1"/>
      <c r="G3844" s="1"/>
      <c r="I3844" s="1"/>
      <c r="J3844" s="1"/>
      <c r="L3844" s="1"/>
      <c r="M3844" s="1"/>
      <c r="O3844" s="2"/>
      <c r="P3844" s="2"/>
    </row>
    <row r="3845" spans="1:16" x14ac:dyDescent="0.25">
      <c r="A3845" s="2"/>
      <c r="B3845" s="2"/>
      <c r="F3845" s="1"/>
      <c r="G3845" s="1"/>
      <c r="I3845" s="1"/>
      <c r="J3845" s="1"/>
      <c r="L3845" s="1"/>
      <c r="M3845" s="1"/>
      <c r="O3845" s="2"/>
      <c r="P3845" s="2"/>
    </row>
    <row r="3846" spans="1:16" x14ac:dyDescent="0.25">
      <c r="A3846" s="2"/>
      <c r="B3846" s="2"/>
      <c r="F3846" s="1"/>
      <c r="G3846" s="1"/>
      <c r="I3846" s="1"/>
      <c r="J3846" s="1"/>
      <c r="L3846" s="1"/>
      <c r="M3846" s="1"/>
      <c r="O3846" s="2"/>
      <c r="P3846" s="2"/>
    </row>
    <row r="3847" spans="1:16" x14ac:dyDescent="0.25">
      <c r="A3847" s="2"/>
      <c r="B3847" s="2"/>
      <c r="F3847" s="1"/>
      <c r="G3847" s="1"/>
      <c r="I3847" s="1"/>
      <c r="J3847" s="1"/>
      <c r="L3847" s="1"/>
      <c r="M3847" s="1"/>
      <c r="O3847" s="2"/>
      <c r="P3847" s="2"/>
    </row>
    <row r="3848" spans="1:16" x14ac:dyDescent="0.25">
      <c r="A3848" s="2"/>
      <c r="B3848" s="2"/>
      <c r="F3848" s="1"/>
      <c r="G3848" s="1"/>
      <c r="I3848" s="1"/>
      <c r="J3848" s="1"/>
      <c r="L3848" s="1"/>
      <c r="M3848" s="1"/>
      <c r="O3848" s="2"/>
      <c r="P3848" s="2"/>
    </row>
    <row r="3849" spans="1:16" x14ac:dyDescent="0.25">
      <c r="A3849" s="2"/>
      <c r="B3849" s="2"/>
      <c r="F3849" s="1"/>
      <c r="G3849" s="1"/>
      <c r="I3849" s="1"/>
      <c r="J3849" s="1"/>
      <c r="L3849" s="1"/>
      <c r="M3849" s="1"/>
      <c r="O3849" s="2"/>
      <c r="P3849" s="2"/>
    </row>
    <row r="3850" spans="1:16" x14ac:dyDescent="0.25">
      <c r="A3850" s="2"/>
      <c r="B3850" s="2"/>
      <c r="F3850" s="1"/>
      <c r="G3850" s="1"/>
      <c r="I3850" s="1"/>
      <c r="J3850" s="1"/>
      <c r="L3850" s="1"/>
      <c r="M3850" s="1"/>
      <c r="O3850" s="2"/>
      <c r="P3850" s="2"/>
    </row>
    <row r="3851" spans="1:16" x14ac:dyDescent="0.25">
      <c r="A3851" s="2"/>
      <c r="B3851" s="2"/>
      <c r="F3851" s="1"/>
      <c r="G3851" s="1"/>
      <c r="I3851" s="1"/>
      <c r="J3851" s="1"/>
      <c r="L3851" s="1"/>
      <c r="M3851" s="1"/>
      <c r="O3851" s="2"/>
      <c r="P3851" s="2"/>
    </row>
    <row r="3852" spans="1:16" x14ac:dyDescent="0.25">
      <c r="A3852" s="2"/>
      <c r="B3852" s="2"/>
      <c r="F3852" s="1"/>
      <c r="G3852" s="1"/>
      <c r="I3852" s="1"/>
      <c r="J3852" s="1"/>
      <c r="L3852" s="1"/>
      <c r="M3852" s="1"/>
      <c r="O3852" s="2"/>
      <c r="P3852" s="2"/>
    </row>
    <row r="3853" spans="1:16" x14ac:dyDescent="0.25">
      <c r="A3853" s="2"/>
      <c r="B3853" s="2"/>
      <c r="F3853" s="1"/>
      <c r="G3853" s="1"/>
      <c r="I3853" s="1"/>
      <c r="J3853" s="1"/>
      <c r="L3853" s="1"/>
      <c r="M3853" s="1"/>
      <c r="O3853" s="2"/>
      <c r="P3853" s="2"/>
    </row>
    <row r="3854" spans="1:16" x14ac:dyDescent="0.25">
      <c r="A3854" s="2"/>
      <c r="B3854" s="2"/>
      <c r="F3854" s="1"/>
      <c r="G3854" s="1"/>
      <c r="I3854" s="1"/>
      <c r="J3854" s="1"/>
      <c r="L3854" s="1"/>
      <c r="M3854" s="1"/>
      <c r="O3854" s="2"/>
      <c r="P3854" s="2"/>
    </row>
    <row r="3855" spans="1:16" x14ac:dyDescent="0.25">
      <c r="A3855" s="2"/>
      <c r="B3855" s="2"/>
      <c r="F3855" s="1"/>
      <c r="G3855" s="1"/>
      <c r="I3855" s="1"/>
      <c r="J3855" s="1"/>
      <c r="L3855" s="1"/>
      <c r="M3855" s="1"/>
      <c r="O3855" s="2"/>
      <c r="P3855" s="2"/>
    </row>
    <row r="3856" spans="1:16" x14ac:dyDescent="0.25">
      <c r="A3856" s="2"/>
      <c r="B3856" s="2"/>
      <c r="F3856" s="1"/>
      <c r="G3856" s="1"/>
      <c r="I3856" s="1"/>
      <c r="J3856" s="1"/>
      <c r="L3856" s="1"/>
      <c r="M3856" s="1"/>
      <c r="O3856" s="2"/>
      <c r="P3856" s="2"/>
    </row>
    <row r="3857" spans="1:16" x14ac:dyDescent="0.25">
      <c r="A3857" s="2"/>
      <c r="B3857" s="2"/>
      <c r="F3857" s="1"/>
      <c r="G3857" s="1"/>
      <c r="I3857" s="1"/>
      <c r="J3857" s="1"/>
      <c r="L3857" s="1"/>
      <c r="M3857" s="1"/>
      <c r="O3857" s="2"/>
      <c r="P3857" s="2"/>
    </row>
    <row r="3858" spans="1:16" x14ac:dyDescent="0.25">
      <c r="A3858" s="2"/>
      <c r="B3858" s="2"/>
      <c r="F3858" s="1"/>
      <c r="G3858" s="1"/>
      <c r="I3858" s="1"/>
      <c r="J3858" s="1"/>
      <c r="L3858" s="1"/>
      <c r="M3858" s="1"/>
      <c r="O3858" s="2"/>
      <c r="P3858" s="2"/>
    </row>
    <row r="3859" spans="1:16" x14ac:dyDescent="0.25">
      <c r="A3859" s="2"/>
      <c r="B3859" s="2"/>
      <c r="F3859" s="1"/>
      <c r="G3859" s="1"/>
      <c r="I3859" s="1"/>
      <c r="J3859" s="1"/>
      <c r="L3859" s="1"/>
      <c r="M3859" s="1"/>
      <c r="O3859" s="2"/>
      <c r="P3859" s="2"/>
    </row>
    <row r="3860" spans="1:16" x14ac:dyDescent="0.25">
      <c r="A3860" s="2"/>
      <c r="B3860" s="2"/>
      <c r="F3860" s="1"/>
      <c r="G3860" s="1"/>
      <c r="I3860" s="1"/>
      <c r="J3860" s="1"/>
      <c r="L3860" s="1"/>
      <c r="M3860" s="1"/>
      <c r="O3860" s="2"/>
      <c r="P3860" s="2"/>
    </row>
    <row r="3861" spans="1:16" x14ac:dyDescent="0.25">
      <c r="A3861" s="2"/>
      <c r="B3861" s="2"/>
      <c r="F3861" s="1"/>
      <c r="G3861" s="1"/>
      <c r="I3861" s="1"/>
      <c r="J3861" s="1"/>
      <c r="L3861" s="1"/>
      <c r="M3861" s="1"/>
      <c r="O3861" s="2"/>
      <c r="P3861" s="2"/>
    </row>
    <row r="3862" spans="1:16" x14ac:dyDescent="0.25">
      <c r="A3862" s="2"/>
      <c r="B3862" s="2"/>
      <c r="F3862" s="1"/>
      <c r="G3862" s="1"/>
      <c r="I3862" s="1"/>
      <c r="J3862" s="1"/>
      <c r="L3862" s="1"/>
      <c r="M3862" s="1"/>
      <c r="O3862" s="2"/>
      <c r="P3862" s="2"/>
    </row>
    <row r="3863" spans="1:16" x14ac:dyDescent="0.25">
      <c r="A3863" s="2"/>
      <c r="B3863" s="2"/>
      <c r="F3863" s="1"/>
      <c r="G3863" s="1"/>
      <c r="I3863" s="1"/>
      <c r="J3863" s="1"/>
      <c r="L3863" s="1"/>
      <c r="M3863" s="1"/>
      <c r="O3863" s="2"/>
      <c r="P3863" s="2"/>
    </row>
    <row r="3864" spans="1:16" x14ac:dyDescent="0.25">
      <c r="A3864" s="2"/>
      <c r="B3864" s="2"/>
      <c r="F3864" s="1"/>
      <c r="G3864" s="1"/>
      <c r="I3864" s="1"/>
      <c r="J3864" s="1"/>
      <c r="L3864" s="1"/>
      <c r="M3864" s="1"/>
      <c r="O3864" s="2"/>
      <c r="P3864" s="2"/>
    </row>
    <row r="3865" spans="1:16" x14ac:dyDescent="0.25">
      <c r="A3865" s="2"/>
      <c r="B3865" s="2"/>
      <c r="F3865" s="1"/>
      <c r="G3865" s="1"/>
      <c r="I3865" s="1"/>
      <c r="J3865" s="1"/>
      <c r="L3865" s="1"/>
      <c r="M3865" s="1"/>
      <c r="O3865" s="2"/>
      <c r="P3865" s="2"/>
    </row>
    <row r="3866" spans="1:16" x14ac:dyDescent="0.25">
      <c r="A3866" s="2"/>
      <c r="B3866" s="2"/>
      <c r="F3866" s="1"/>
      <c r="G3866" s="1"/>
      <c r="I3866" s="1"/>
      <c r="J3866" s="1"/>
      <c r="L3866" s="1"/>
      <c r="M3866" s="1"/>
      <c r="O3866" s="2"/>
      <c r="P3866" s="2"/>
    </row>
    <row r="3867" spans="1:16" x14ac:dyDescent="0.25">
      <c r="A3867" s="2"/>
      <c r="B3867" s="2"/>
      <c r="F3867" s="1"/>
      <c r="G3867" s="1"/>
      <c r="I3867" s="1"/>
      <c r="J3867" s="1"/>
      <c r="L3867" s="1"/>
      <c r="M3867" s="1"/>
      <c r="O3867" s="2"/>
      <c r="P3867" s="2"/>
    </row>
    <row r="3868" spans="1:16" x14ac:dyDescent="0.25">
      <c r="A3868" s="2"/>
      <c r="B3868" s="2"/>
      <c r="F3868" s="1"/>
      <c r="G3868" s="1"/>
      <c r="I3868" s="1"/>
      <c r="J3868" s="1"/>
      <c r="L3868" s="1"/>
      <c r="M3868" s="1"/>
      <c r="O3868" s="2"/>
      <c r="P3868" s="2"/>
    </row>
    <row r="3869" spans="1:16" x14ac:dyDescent="0.25">
      <c r="A3869" s="2"/>
      <c r="B3869" s="2"/>
      <c r="F3869" s="1"/>
      <c r="G3869" s="1"/>
      <c r="I3869" s="1"/>
      <c r="J3869" s="1"/>
      <c r="L3869" s="1"/>
      <c r="M3869" s="1"/>
      <c r="O3869" s="2"/>
      <c r="P3869" s="2"/>
    </row>
    <row r="3870" spans="1:16" x14ac:dyDescent="0.25">
      <c r="A3870" s="2"/>
      <c r="B3870" s="2"/>
      <c r="F3870" s="1"/>
      <c r="G3870" s="1"/>
      <c r="I3870" s="1"/>
      <c r="J3870" s="1"/>
      <c r="L3870" s="1"/>
      <c r="M3870" s="1"/>
      <c r="O3870" s="2"/>
      <c r="P3870" s="2"/>
    </row>
    <row r="3871" spans="1:16" x14ac:dyDescent="0.25">
      <c r="A3871" s="2"/>
      <c r="B3871" s="2"/>
      <c r="F3871" s="1"/>
      <c r="G3871" s="1"/>
      <c r="I3871" s="1"/>
      <c r="J3871" s="1"/>
      <c r="L3871" s="1"/>
      <c r="M3871" s="1"/>
      <c r="O3871" s="2"/>
      <c r="P3871" s="2"/>
    </row>
    <row r="3872" spans="1:16" x14ac:dyDescent="0.25">
      <c r="A3872" s="2"/>
      <c r="B3872" s="2"/>
      <c r="F3872" s="1"/>
      <c r="G3872" s="1"/>
      <c r="I3872" s="1"/>
      <c r="J3872" s="1"/>
      <c r="L3872" s="1"/>
      <c r="M3872" s="1"/>
      <c r="O3872" s="2"/>
      <c r="P3872" s="2"/>
    </row>
    <row r="3873" spans="1:16" x14ac:dyDescent="0.25">
      <c r="A3873" s="2"/>
      <c r="B3873" s="2"/>
      <c r="F3873" s="1"/>
      <c r="G3873" s="1"/>
      <c r="I3873" s="1"/>
      <c r="J3873" s="1"/>
      <c r="L3873" s="1"/>
      <c r="M3873" s="1"/>
      <c r="O3873" s="2"/>
      <c r="P3873" s="2"/>
    </row>
    <row r="3874" spans="1:16" x14ac:dyDescent="0.25">
      <c r="A3874" s="2"/>
      <c r="B3874" s="2"/>
      <c r="F3874" s="1"/>
      <c r="G3874" s="1"/>
      <c r="I3874" s="1"/>
      <c r="J3874" s="1"/>
      <c r="L3874" s="1"/>
      <c r="M3874" s="1"/>
      <c r="O3874" s="2"/>
      <c r="P3874" s="2"/>
    </row>
    <row r="3875" spans="1:16" x14ac:dyDescent="0.25">
      <c r="A3875" s="2"/>
      <c r="B3875" s="2"/>
      <c r="F3875" s="1"/>
      <c r="G3875" s="1"/>
      <c r="I3875" s="1"/>
      <c r="J3875" s="1"/>
      <c r="L3875" s="1"/>
      <c r="M3875" s="1"/>
      <c r="O3875" s="2"/>
      <c r="P3875" s="2"/>
    </row>
    <row r="3876" spans="1:16" x14ac:dyDescent="0.25">
      <c r="A3876" s="2"/>
      <c r="B3876" s="2"/>
      <c r="F3876" s="1"/>
      <c r="G3876" s="1"/>
      <c r="I3876" s="1"/>
      <c r="J3876" s="1"/>
      <c r="L3876" s="1"/>
      <c r="M3876" s="1"/>
      <c r="O3876" s="2"/>
      <c r="P3876" s="2"/>
    </row>
    <row r="3877" spans="1:16" x14ac:dyDescent="0.25">
      <c r="A3877" s="2"/>
      <c r="B3877" s="2"/>
      <c r="F3877" s="1"/>
      <c r="G3877" s="1"/>
      <c r="I3877" s="1"/>
      <c r="J3877" s="1"/>
      <c r="L3877" s="1"/>
      <c r="M3877" s="1"/>
      <c r="O3877" s="2"/>
      <c r="P3877" s="2"/>
    </row>
    <row r="3878" spans="1:16" x14ac:dyDescent="0.25">
      <c r="A3878" s="2"/>
      <c r="B3878" s="2"/>
      <c r="F3878" s="1"/>
      <c r="G3878" s="1"/>
      <c r="I3878" s="1"/>
      <c r="J3878" s="1"/>
      <c r="L3878" s="1"/>
      <c r="M3878" s="1"/>
      <c r="O3878" s="2"/>
      <c r="P3878" s="2"/>
    </row>
    <row r="3879" spans="1:16" x14ac:dyDescent="0.25">
      <c r="A3879" s="2"/>
      <c r="B3879" s="2"/>
      <c r="F3879" s="1"/>
      <c r="G3879" s="1"/>
      <c r="I3879" s="1"/>
      <c r="J3879" s="1"/>
      <c r="L3879" s="1"/>
      <c r="M3879" s="1"/>
      <c r="O3879" s="2"/>
      <c r="P3879" s="2"/>
    </row>
    <row r="3880" spans="1:16" x14ac:dyDescent="0.25">
      <c r="A3880" s="2"/>
      <c r="B3880" s="2"/>
      <c r="F3880" s="1"/>
      <c r="G3880" s="1"/>
      <c r="I3880" s="1"/>
      <c r="J3880" s="1"/>
      <c r="L3880" s="1"/>
      <c r="M3880" s="1"/>
      <c r="O3880" s="2"/>
      <c r="P3880" s="2"/>
    </row>
    <row r="3881" spans="1:16" x14ac:dyDescent="0.25">
      <c r="A3881" s="2"/>
      <c r="B3881" s="2"/>
      <c r="F3881" s="1"/>
      <c r="G3881" s="1"/>
      <c r="I3881" s="1"/>
      <c r="J3881" s="1"/>
      <c r="L3881" s="1"/>
      <c r="M3881" s="1"/>
      <c r="O3881" s="2"/>
      <c r="P3881" s="2"/>
    </row>
    <row r="3882" spans="1:16" x14ac:dyDescent="0.25">
      <c r="A3882" s="2"/>
      <c r="B3882" s="2"/>
      <c r="F3882" s="1"/>
      <c r="G3882" s="1"/>
      <c r="I3882" s="1"/>
      <c r="J3882" s="1"/>
      <c r="L3882" s="1"/>
      <c r="M3882" s="1"/>
      <c r="O3882" s="2"/>
      <c r="P3882" s="2"/>
    </row>
    <row r="3883" spans="1:16" x14ac:dyDescent="0.25">
      <c r="A3883" s="2"/>
      <c r="B3883" s="2"/>
      <c r="F3883" s="1"/>
      <c r="G3883" s="1"/>
      <c r="I3883" s="1"/>
      <c r="J3883" s="1"/>
      <c r="L3883" s="1"/>
      <c r="M3883" s="1"/>
      <c r="O3883" s="2"/>
      <c r="P3883" s="2"/>
    </row>
    <row r="3884" spans="1:16" x14ac:dyDescent="0.25">
      <c r="A3884" s="2"/>
      <c r="B3884" s="2"/>
      <c r="F3884" s="1"/>
      <c r="G3884" s="1"/>
      <c r="I3884" s="1"/>
      <c r="J3884" s="1"/>
      <c r="L3884" s="1"/>
      <c r="M3884" s="1"/>
      <c r="O3884" s="2"/>
      <c r="P3884" s="2"/>
    </row>
    <row r="3885" spans="1:16" x14ac:dyDescent="0.25">
      <c r="A3885" s="2"/>
      <c r="B3885" s="2"/>
      <c r="F3885" s="1"/>
      <c r="G3885" s="1"/>
      <c r="I3885" s="1"/>
      <c r="J3885" s="1"/>
      <c r="L3885" s="1"/>
      <c r="M3885" s="1"/>
      <c r="O3885" s="2"/>
      <c r="P3885" s="2"/>
    </row>
    <row r="3886" spans="1:16" x14ac:dyDescent="0.25">
      <c r="A3886" s="2"/>
      <c r="B3886" s="2"/>
      <c r="F3886" s="1"/>
      <c r="G3886" s="1"/>
      <c r="I3886" s="1"/>
      <c r="J3886" s="1"/>
      <c r="L3886" s="1"/>
      <c r="M3886" s="1"/>
      <c r="O3886" s="2"/>
      <c r="P3886" s="2"/>
    </row>
    <row r="3887" spans="1:16" x14ac:dyDescent="0.25">
      <c r="A3887" s="2"/>
      <c r="B3887" s="2"/>
      <c r="F3887" s="1"/>
      <c r="G3887" s="1"/>
      <c r="I3887" s="1"/>
      <c r="J3887" s="1"/>
      <c r="L3887" s="1"/>
      <c r="M3887" s="1"/>
      <c r="O3887" s="2"/>
      <c r="P3887" s="2"/>
    </row>
    <row r="3888" spans="1:16" x14ac:dyDescent="0.25">
      <c r="A3888" s="2"/>
      <c r="B3888" s="2"/>
      <c r="F3888" s="1"/>
      <c r="G3888" s="1"/>
      <c r="I3888" s="1"/>
      <c r="J3888" s="1"/>
      <c r="L3888" s="1"/>
      <c r="M3888" s="1"/>
      <c r="O3888" s="2"/>
      <c r="P3888" s="2"/>
    </row>
    <row r="3889" spans="1:16" x14ac:dyDescent="0.25">
      <c r="A3889" s="2"/>
      <c r="B3889" s="2"/>
      <c r="F3889" s="1"/>
      <c r="G3889" s="1"/>
      <c r="I3889" s="1"/>
      <c r="J3889" s="1"/>
      <c r="L3889" s="1"/>
      <c r="M3889" s="1"/>
      <c r="O3889" s="2"/>
      <c r="P3889" s="2"/>
    </row>
    <row r="3890" spans="1:16" x14ac:dyDescent="0.25">
      <c r="A3890" s="2"/>
      <c r="B3890" s="2"/>
      <c r="F3890" s="1"/>
      <c r="G3890" s="1"/>
      <c r="I3890" s="1"/>
      <c r="J3890" s="1"/>
      <c r="L3890" s="1"/>
      <c r="M3890" s="1"/>
      <c r="O3890" s="2"/>
      <c r="P3890" s="2"/>
    </row>
    <row r="3891" spans="1:16" x14ac:dyDescent="0.25">
      <c r="A3891" s="2"/>
      <c r="B3891" s="2"/>
      <c r="F3891" s="1"/>
      <c r="G3891" s="1"/>
      <c r="I3891" s="1"/>
      <c r="J3891" s="1"/>
      <c r="L3891" s="1"/>
      <c r="M3891" s="1"/>
      <c r="O3891" s="2"/>
      <c r="P3891" s="2"/>
    </row>
    <row r="3892" spans="1:16" x14ac:dyDescent="0.25">
      <c r="A3892" s="2"/>
      <c r="B3892" s="2"/>
      <c r="F3892" s="1"/>
      <c r="G3892" s="1"/>
      <c r="I3892" s="1"/>
      <c r="J3892" s="1"/>
      <c r="L3892" s="1"/>
      <c r="M3892" s="1"/>
      <c r="O3892" s="2"/>
      <c r="P3892" s="2"/>
    </row>
    <row r="3893" spans="1:16" x14ac:dyDescent="0.25">
      <c r="A3893" s="2"/>
      <c r="B3893" s="2"/>
      <c r="F3893" s="1"/>
      <c r="G3893" s="1"/>
      <c r="I3893" s="1"/>
      <c r="J3893" s="1"/>
      <c r="L3893" s="1"/>
      <c r="M3893" s="1"/>
      <c r="O3893" s="2"/>
      <c r="P3893" s="2"/>
    </row>
    <row r="3894" spans="1:16" x14ac:dyDescent="0.25">
      <c r="A3894" s="2"/>
      <c r="B3894" s="2"/>
      <c r="F3894" s="1"/>
      <c r="G3894" s="1"/>
      <c r="I3894" s="1"/>
      <c r="J3894" s="1"/>
      <c r="L3894" s="1"/>
      <c r="M3894" s="1"/>
      <c r="O3894" s="2"/>
      <c r="P3894" s="2"/>
    </row>
    <row r="3895" spans="1:16" x14ac:dyDescent="0.25">
      <c r="A3895" s="2"/>
      <c r="B3895" s="2"/>
      <c r="F3895" s="1"/>
      <c r="G3895" s="1"/>
      <c r="I3895" s="1"/>
      <c r="J3895" s="1"/>
      <c r="L3895" s="1"/>
      <c r="M3895" s="1"/>
      <c r="O3895" s="2"/>
      <c r="P3895" s="2"/>
    </row>
    <row r="3896" spans="1:16" x14ac:dyDescent="0.25">
      <c r="A3896" s="2"/>
      <c r="B3896" s="2"/>
      <c r="F3896" s="1"/>
      <c r="G3896" s="1"/>
      <c r="I3896" s="1"/>
      <c r="J3896" s="1"/>
      <c r="L3896" s="1"/>
      <c r="M3896" s="1"/>
      <c r="O3896" s="2"/>
      <c r="P3896" s="2"/>
    </row>
    <row r="3897" spans="1:16" x14ac:dyDescent="0.25">
      <c r="A3897" s="2"/>
      <c r="B3897" s="2"/>
      <c r="F3897" s="1"/>
      <c r="G3897" s="1"/>
      <c r="I3897" s="1"/>
      <c r="J3897" s="1"/>
      <c r="L3897" s="1"/>
      <c r="M3897" s="1"/>
      <c r="O3897" s="2"/>
      <c r="P3897" s="2"/>
    </row>
    <row r="3898" spans="1:16" x14ac:dyDescent="0.25">
      <c r="A3898" s="2"/>
      <c r="B3898" s="2"/>
      <c r="F3898" s="1"/>
      <c r="G3898" s="1"/>
      <c r="I3898" s="1"/>
      <c r="J3898" s="1"/>
      <c r="L3898" s="1"/>
      <c r="M3898" s="1"/>
      <c r="O3898" s="2"/>
      <c r="P3898" s="2"/>
    </row>
    <row r="3899" spans="1:16" x14ac:dyDescent="0.25">
      <c r="A3899" s="2"/>
      <c r="B3899" s="2"/>
      <c r="F3899" s="1"/>
      <c r="G3899" s="1"/>
      <c r="I3899" s="1"/>
      <c r="J3899" s="1"/>
      <c r="L3899" s="1"/>
      <c r="M3899" s="1"/>
      <c r="O3899" s="2"/>
      <c r="P3899" s="2"/>
    </row>
    <row r="3900" spans="1:16" x14ac:dyDescent="0.25">
      <c r="A3900" s="2"/>
      <c r="B3900" s="2"/>
      <c r="F3900" s="1"/>
      <c r="G3900" s="1"/>
      <c r="I3900" s="1"/>
      <c r="J3900" s="1"/>
      <c r="L3900" s="1"/>
      <c r="M3900" s="1"/>
      <c r="O3900" s="2"/>
      <c r="P3900" s="2"/>
    </row>
    <row r="3901" spans="1:16" x14ac:dyDescent="0.25">
      <c r="A3901" s="2"/>
      <c r="B3901" s="2"/>
      <c r="F3901" s="1"/>
      <c r="G3901" s="1"/>
      <c r="I3901" s="1"/>
      <c r="J3901" s="1"/>
      <c r="L3901" s="1"/>
      <c r="M3901" s="1"/>
      <c r="O3901" s="2"/>
      <c r="P3901" s="2"/>
    </row>
    <row r="3902" spans="1:16" x14ac:dyDescent="0.25">
      <c r="A3902" s="2"/>
      <c r="B3902" s="2"/>
      <c r="F3902" s="1"/>
      <c r="G3902" s="1"/>
      <c r="I3902" s="1"/>
      <c r="J3902" s="1"/>
      <c r="L3902" s="1"/>
      <c r="M3902" s="1"/>
      <c r="O3902" s="2"/>
      <c r="P3902" s="2"/>
    </row>
    <row r="3903" spans="1:16" x14ac:dyDescent="0.25">
      <c r="A3903" s="2"/>
      <c r="B3903" s="2"/>
      <c r="F3903" s="1"/>
      <c r="G3903" s="1"/>
      <c r="I3903" s="1"/>
      <c r="J3903" s="1"/>
      <c r="L3903" s="1"/>
      <c r="M3903" s="1"/>
      <c r="O3903" s="2"/>
      <c r="P3903" s="2"/>
    </row>
    <row r="3904" spans="1:16" x14ac:dyDescent="0.25">
      <c r="A3904" s="2"/>
      <c r="B3904" s="2"/>
      <c r="F3904" s="1"/>
      <c r="G3904" s="1"/>
      <c r="I3904" s="1"/>
      <c r="J3904" s="1"/>
      <c r="L3904" s="1"/>
      <c r="M3904" s="1"/>
      <c r="O3904" s="2"/>
      <c r="P3904" s="2"/>
    </row>
    <row r="3905" spans="1:16" x14ac:dyDescent="0.25">
      <c r="A3905" s="2"/>
      <c r="B3905" s="2"/>
      <c r="F3905" s="1"/>
      <c r="G3905" s="1"/>
      <c r="I3905" s="1"/>
      <c r="J3905" s="1"/>
      <c r="L3905" s="1"/>
      <c r="M3905" s="1"/>
      <c r="O3905" s="2"/>
      <c r="P3905" s="2"/>
    </row>
    <row r="3906" spans="1:16" x14ac:dyDescent="0.25">
      <c r="A3906" s="2"/>
      <c r="B3906" s="2"/>
      <c r="F3906" s="1"/>
      <c r="G3906" s="1"/>
      <c r="I3906" s="1"/>
      <c r="J3906" s="1"/>
      <c r="L3906" s="1"/>
      <c r="M3906" s="1"/>
      <c r="O3906" s="2"/>
      <c r="P3906" s="2"/>
    </row>
    <row r="3907" spans="1:16" x14ac:dyDescent="0.25">
      <c r="A3907" s="2"/>
      <c r="B3907" s="2"/>
      <c r="F3907" s="1"/>
      <c r="G3907" s="1"/>
      <c r="I3907" s="1"/>
      <c r="J3907" s="1"/>
      <c r="L3907" s="1"/>
      <c r="M3907" s="1"/>
      <c r="O3907" s="2"/>
      <c r="P3907" s="2"/>
    </row>
    <row r="3908" spans="1:16" x14ac:dyDescent="0.25">
      <c r="A3908" s="2"/>
      <c r="B3908" s="2"/>
      <c r="F3908" s="1"/>
      <c r="G3908" s="1"/>
      <c r="I3908" s="1"/>
      <c r="J3908" s="1"/>
      <c r="L3908" s="1"/>
      <c r="M3908" s="1"/>
      <c r="O3908" s="2"/>
      <c r="P3908" s="2"/>
    </row>
    <row r="3909" spans="1:16" x14ac:dyDescent="0.25">
      <c r="A3909" s="2"/>
      <c r="B3909" s="2"/>
      <c r="F3909" s="1"/>
      <c r="G3909" s="1"/>
      <c r="I3909" s="1"/>
      <c r="J3909" s="1"/>
      <c r="L3909" s="1"/>
      <c r="M3909" s="1"/>
      <c r="O3909" s="2"/>
      <c r="P3909" s="2"/>
    </row>
    <row r="3910" spans="1:16" x14ac:dyDescent="0.25">
      <c r="A3910" s="2"/>
      <c r="B3910" s="2"/>
      <c r="F3910" s="1"/>
      <c r="G3910" s="1"/>
      <c r="I3910" s="1"/>
      <c r="J3910" s="1"/>
      <c r="L3910" s="1"/>
      <c r="M3910" s="1"/>
      <c r="O3910" s="2"/>
      <c r="P3910" s="2"/>
    </row>
    <row r="3911" spans="1:16" x14ac:dyDescent="0.25">
      <c r="A3911" s="2"/>
      <c r="B3911" s="2"/>
      <c r="F3911" s="1"/>
      <c r="G3911" s="1"/>
      <c r="I3911" s="1"/>
      <c r="J3911" s="1"/>
      <c r="L3911" s="1"/>
      <c r="M3911" s="1"/>
      <c r="O3911" s="2"/>
      <c r="P3911" s="2"/>
    </row>
    <row r="3912" spans="1:16" x14ac:dyDescent="0.25">
      <c r="A3912" s="2"/>
      <c r="B3912" s="2"/>
      <c r="F3912" s="1"/>
      <c r="G3912" s="1"/>
      <c r="I3912" s="1"/>
      <c r="J3912" s="1"/>
      <c r="L3912" s="1"/>
      <c r="M3912" s="1"/>
      <c r="O3912" s="2"/>
      <c r="P3912" s="2"/>
    </row>
    <row r="3913" spans="1:16" x14ac:dyDescent="0.25">
      <c r="A3913" s="2"/>
      <c r="B3913" s="2"/>
      <c r="F3913" s="1"/>
      <c r="G3913" s="1"/>
      <c r="I3913" s="1"/>
      <c r="J3913" s="1"/>
      <c r="L3913" s="1"/>
      <c r="M3913" s="1"/>
      <c r="O3913" s="2"/>
      <c r="P3913" s="2"/>
    </row>
    <row r="3914" spans="1:16" x14ac:dyDescent="0.25">
      <c r="A3914" s="2"/>
      <c r="B3914" s="2"/>
      <c r="F3914" s="1"/>
      <c r="G3914" s="1"/>
      <c r="I3914" s="1"/>
      <c r="J3914" s="1"/>
      <c r="L3914" s="1"/>
      <c r="M3914" s="1"/>
      <c r="O3914" s="2"/>
      <c r="P3914" s="2"/>
    </row>
    <row r="3915" spans="1:16" x14ac:dyDescent="0.25">
      <c r="A3915" s="2"/>
      <c r="B3915" s="2"/>
      <c r="F3915" s="1"/>
      <c r="G3915" s="1"/>
      <c r="I3915" s="1"/>
      <c r="J3915" s="1"/>
      <c r="L3915" s="1"/>
      <c r="M3915" s="1"/>
      <c r="O3915" s="2"/>
      <c r="P3915" s="2"/>
    </row>
    <row r="3916" spans="1:16" x14ac:dyDescent="0.25">
      <c r="A3916" s="2"/>
      <c r="B3916" s="2"/>
      <c r="F3916" s="1"/>
      <c r="G3916" s="1"/>
      <c r="I3916" s="1"/>
      <c r="J3916" s="1"/>
      <c r="L3916" s="1"/>
      <c r="M3916" s="1"/>
      <c r="O3916" s="2"/>
      <c r="P3916" s="2"/>
    </row>
    <row r="3917" spans="1:16" x14ac:dyDescent="0.25">
      <c r="A3917" s="2"/>
      <c r="B3917" s="2"/>
      <c r="F3917" s="1"/>
      <c r="G3917" s="1"/>
      <c r="I3917" s="1"/>
      <c r="J3917" s="1"/>
      <c r="L3917" s="1"/>
      <c r="M3917" s="1"/>
      <c r="O3917" s="2"/>
      <c r="P3917" s="2"/>
    </row>
    <row r="3918" spans="1:16" x14ac:dyDescent="0.25">
      <c r="A3918" s="2"/>
      <c r="B3918" s="2"/>
      <c r="F3918" s="1"/>
      <c r="G3918" s="1"/>
      <c r="I3918" s="1"/>
      <c r="J3918" s="1"/>
      <c r="L3918" s="1"/>
      <c r="M3918" s="1"/>
      <c r="O3918" s="2"/>
      <c r="P3918" s="2"/>
    </row>
    <row r="3919" spans="1:16" x14ac:dyDescent="0.25">
      <c r="A3919" s="2"/>
      <c r="B3919" s="2"/>
      <c r="F3919" s="1"/>
      <c r="G3919" s="1"/>
      <c r="I3919" s="1"/>
      <c r="J3919" s="1"/>
      <c r="L3919" s="1"/>
      <c r="M3919" s="1"/>
      <c r="O3919" s="2"/>
      <c r="P3919" s="2"/>
    </row>
    <row r="3920" spans="1:16" x14ac:dyDescent="0.25">
      <c r="A3920" s="2"/>
      <c r="B3920" s="2"/>
      <c r="F3920" s="1"/>
      <c r="G3920" s="1"/>
      <c r="I3920" s="1"/>
      <c r="J3920" s="1"/>
      <c r="L3920" s="1"/>
      <c r="M3920" s="1"/>
      <c r="O3920" s="2"/>
      <c r="P3920" s="2"/>
    </row>
    <row r="3921" spans="1:16" x14ac:dyDescent="0.25">
      <c r="A3921" s="2"/>
      <c r="B3921" s="2"/>
      <c r="F3921" s="1"/>
      <c r="G3921" s="1"/>
      <c r="I3921" s="1"/>
      <c r="J3921" s="1"/>
      <c r="L3921" s="1"/>
      <c r="M3921" s="1"/>
      <c r="O3921" s="2"/>
      <c r="P3921" s="2"/>
    </row>
    <row r="3922" spans="1:16" x14ac:dyDescent="0.25">
      <c r="A3922" s="2"/>
      <c r="B3922" s="2"/>
      <c r="F3922" s="1"/>
      <c r="G3922" s="1"/>
      <c r="I3922" s="1"/>
      <c r="J3922" s="1"/>
      <c r="L3922" s="1"/>
      <c r="M3922" s="1"/>
      <c r="O3922" s="2"/>
      <c r="P3922" s="2"/>
    </row>
    <row r="3923" spans="1:16" x14ac:dyDescent="0.25">
      <c r="A3923" s="2"/>
      <c r="B3923" s="2"/>
      <c r="F3923" s="1"/>
      <c r="G3923" s="1"/>
      <c r="I3923" s="1"/>
      <c r="J3923" s="1"/>
      <c r="L3923" s="1"/>
      <c r="M3923" s="1"/>
      <c r="O3923" s="2"/>
      <c r="P3923" s="2"/>
    </row>
    <row r="3924" spans="1:16" x14ac:dyDescent="0.25">
      <c r="A3924" s="2"/>
      <c r="B3924" s="2"/>
      <c r="F3924" s="1"/>
      <c r="G3924" s="1"/>
      <c r="I3924" s="1"/>
      <c r="J3924" s="1"/>
      <c r="L3924" s="1"/>
      <c r="M3924" s="1"/>
      <c r="O3924" s="2"/>
      <c r="P3924" s="2"/>
    </row>
    <row r="3925" spans="1:16" x14ac:dyDescent="0.25">
      <c r="A3925" s="2"/>
      <c r="B3925" s="2"/>
      <c r="F3925" s="1"/>
      <c r="G3925" s="1"/>
      <c r="I3925" s="1"/>
      <c r="J3925" s="1"/>
      <c r="L3925" s="1"/>
      <c r="M3925" s="1"/>
      <c r="O3925" s="2"/>
      <c r="P3925" s="2"/>
    </row>
    <row r="3926" spans="1:16" x14ac:dyDescent="0.25">
      <c r="A3926" s="2"/>
      <c r="B3926" s="2"/>
      <c r="F3926" s="1"/>
      <c r="G3926" s="1"/>
      <c r="I3926" s="1"/>
      <c r="J3926" s="1"/>
      <c r="L3926" s="1"/>
      <c r="M3926" s="1"/>
      <c r="O3926" s="2"/>
      <c r="P3926" s="2"/>
    </row>
    <row r="3927" spans="1:16" x14ac:dyDescent="0.25">
      <c r="A3927" s="2"/>
      <c r="B3927" s="2"/>
      <c r="F3927" s="1"/>
      <c r="G3927" s="1"/>
      <c r="I3927" s="1"/>
      <c r="J3927" s="1"/>
      <c r="L3927" s="1"/>
      <c r="M3927" s="1"/>
      <c r="O3927" s="2"/>
      <c r="P3927" s="2"/>
    </row>
    <row r="3928" spans="1:16" x14ac:dyDescent="0.25">
      <c r="A3928" s="2"/>
      <c r="B3928" s="2"/>
      <c r="F3928" s="1"/>
      <c r="G3928" s="1"/>
      <c r="I3928" s="1"/>
      <c r="J3928" s="1"/>
      <c r="L3928" s="1"/>
      <c r="M3928" s="1"/>
      <c r="O3928" s="2"/>
      <c r="P3928" s="2"/>
    </row>
    <row r="3929" spans="1:16" x14ac:dyDescent="0.25">
      <c r="A3929" s="2"/>
      <c r="B3929" s="2"/>
      <c r="F3929" s="1"/>
      <c r="G3929" s="1"/>
      <c r="I3929" s="1"/>
      <c r="J3929" s="1"/>
      <c r="L3929" s="1"/>
      <c r="M3929" s="1"/>
      <c r="O3929" s="2"/>
      <c r="P3929" s="2"/>
    </row>
    <row r="3930" spans="1:16" x14ac:dyDescent="0.25">
      <c r="A3930" s="2"/>
      <c r="B3930" s="2"/>
      <c r="F3930" s="1"/>
      <c r="G3930" s="1"/>
      <c r="I3930" s="1"/>
      <c r="J3930" s="1"/>
      <c r="L3930" s="1"/>
      <c r="M3930" s="1"/>
      <c r="O3930" s="2"/>
      <c r="P3930" s="2"/>
    </row>
    <row r="3931" spans="1:16" x14ac:dyDescent="0.25">
      <c r="A3931" s="2"/>
      <c r="B3931" s="2"/>
      <c r="F3931" s="1"/>
      <c r="G3931" s="1"/>
      <c r="I3931" s="1"/>
      <c r="J3931" s="1"/>
      <c r="L3931" s="1"/>
      <c r="M3931" s="1"/>
      <c r="O3931" s="2"/>
      <c r="P3931" s="2"/>
    </row>
    <row r="3932" spans="1:16" x14ac:dyDescent="0.25">
      <c r="A3932" s="2"/>
      <c r="B3932" s="2"/>
      <c r="F3932" s="1"/>
      <c r="G3932" s="1"/>
      <c r="I3932" s="1"/>
      <c r="J3932" s="1"/>
      <c r="L3932" s="1"/>
      <c r="M3932" s="1"/>
      <c r="O3932" s="2"/>
      <c r="P3932" s="2"/>
    </row>
    <row r="3933" spans="1:16" x14ac:dyDescent="0.25">
      <c r="A3933" s="2"/>
      <c r="B3933" s="2"/>
      <c r="F3933" s="1"/>
      <c r="G3933" s="1"/>
      <c r="I3933" s="1"/>
      <c r="J3933" s="1"/>
      <c r="L3933" s="1"/>
      <c r="M3933" s="1"/>
      <c r="O3933" s="2"/>
      <c r="P3933" s="2"/>
    </row>
    <row r="3934" spans="1:16" x14ac:dyDescent="0.25">
      <c r="A3934" s="2"/>
      <c r="B3934" s="2"/>
      <c r="F3934" s="1"/>
      <c r="G3934" s="1"/>
      <c r="I3934" s="1"/>
      <c r="J3934" s="1"/>
      <c r="L3934" s="1"/>
      <c r="M3934" s="1"/>
      <c r="O3934" s="2"/>
      <c r="P3934" s="2"/>
    </row>
    <row r="3935" spans="1:16" x14ac:dyDescent="0.25">
      <c r="A3935" s="2"/>
      <c r="B3935" s="2"/>
      <c r="F3935" s="1"/>
      <c r="G3935" s="1"/>
      <c r="I3935" s="1"/>
      <c r="J3935" s="1"/>
      <c r="L3935" s="1"/>
      <c r="M3935" s="1"/>
      <c r="O3935" s="2"/>
      <c r="P3935" s="2"/>
    </row>
    <row r="3936" spans="1:16" x14ac:dyDescent="0.25">
      <c r="A3936" s="2"/>
      <c r="B3936" s="2"/>
      <c r="F3936" s="1"/>
      <c r="G3936" s="1"/>
      <c r="I3936" s="1"/>
      <c r="J3936" s="1"/>
      <c r="L3936" s="1"/>
      <c r="M3936" s="1"/>
      <c r="O3936" s="2"/>
      <c r="P3936" s="2"/>
    </row>
    <row r="3937" spans="1:16" x14ac:dyDescent="0.25">
      <c r="A3937" s="2"/>
      <c r="B3937" s="2"/>
      <c r="F3937" s="1"/>
      <c r="G3937" s="1"/>
      <c r="I3937" s="1"/>
      <c r="J3937" s="1"/>
      <c r="L3937" s="1"/>
      <c r="M3937" s="1"/>
      <c r="O3937" s="2"/>
      <c r="P3937" s="2"/>
    </row>
    <row r="3938" spans="1:16" x14ac:dyDescent="0.25">
      <c r="A3938" s="2"/>
      <c r="B3938" s="2"/>
      <c r="F3938" s="1"/>
      <c r="G3938" s="1"/>
      <c r="I3938" s="1"/>
      <c r="J3938" s="1"/>
      <c r="L3938" s="1"/>
      <c r="M3938" s="1"/>
      <c r="O3938" s="2"/>
      <c r="P3938" s="2"/>
    </row>
    <row r="3939" spans="1:16" x14ac:dyDescent="0.25">
      <c r="A3939" s="2"/>
      <c r="B3939" s="2"/>
      <c r="F3939" s="1"/>
      <c r="G3939" s="1"/>
      <c r="I3939" s="1"/>
      <c r="J3939" s="1"/>
      <c r="L3939" s="1"/>
      <c r="M3939" s="1"/>
      <c r="O3939" s="2"/>
      <c r="P3939" s="2"/>
    </row>
    <row r="3940" spans="1:16" x14ac:dyDescent="0.25">
      <c r="A3940" s="2"/>
      <c r="B3940" s="2"/>
      <c r="F3940" s="1"/>
      <c r="G3940" s="1"/>
      <c r="I3940" s="1"/>
      <c r="J3940" s="1"/>
      <c r="L3940" s="1"/>
      <c r="M3940" s="1"/>
      <c r="O3940" s="2"/>
      <c r="P3940" s="2"/>
    </row>
    <row r="3941" spans="1:16" x14ac:dyDescent="0.25">
      <c r="A3941" s="2"/>
      <c r="B3941" s="2"/>
      <c r="F3941" s="1"/>
      <c r="G3941" s="1"/>
      <c r="I3941" s="1"/>
      <c r="J3941" s="1"/>
      <c r="L3941" s="1"/>
      <c r="M3941" s="1"/>
      <c r="O3941" s="2"/>
      <c r="P3941" s="2"/>
    </row>
    <row r="3942" spans="1:16" x14ac:dyDescent="0.25">
      <c r="A3942" s="2"/>
      <c r="B3942" s="2"/>
      <c r="F3942" s="1"/>
      <c r="G3942" s="1"/>
      <c r="I3942" s="1"/>
      <c r="J3942" s="1"/>
      <c r="L3942" s="1"/>
      <c r="M3942" s="1"/>
      <c r="O3942" s="2"/>
      <c r="P3942" s="2"/>
    </row>
    <row r="3943" spans="1:16" x14ac:dyDescent="0.25">
      <c r="A3943" s="2"/>
      <c r="B3943" s="2"/>
      <c r="F3943" s="1"/>
      <c r="G3943" s="1"/>
      <c r="I3943" s="1"/>
      <c r="J3943" s="1"/>
      <c r="L3943" s="1"/>
      <c r="M3943" s="1"/>
      <c r="O3943" s="2"/>
      <c r="P3943" s="2"/>
    </row>
    <row r="3944" spans="1:16" x14ac:dyDescent="0.25">
      <c r="A3944" s="2"/>
      <c r="B3944" s="2"/>
      <c r="F3944" s="1"/>
      <c r="G3944" s="1"/>
      <c r="I3944" s="1"/>
      <c r="J3944" s="1"/>
      <c r="L3944" s="1"/>
      <c r="M3944" s="1"/>
      <c r="O3944" s="2"/>
      <c r="P3944" s="2"/>
    </row>
    <row r="3945" spans="1:16" x14ac:dyDescent="0.25">
      <c r="A3945" s="2"/>
      <c r="B3945" s="2"/>
      <c r="F3945" s="1"/>
      <c r="G3945" s="1"/>
      <c r="I3945" s="1"/>
      <c r="J3945" s="1"/>
      <c r="L3945" s="1"/>
      <c r="M3945" s="1"/>
      <c r="O3945" s="2"/>
      <c r="P3945" s="2"/>
    </row>
    <row r="3946" spans="1:16" x14ac:dyDescent="0.25">
      <c r="A3946" s="2"/>
      <c r="B3946" s="2"/>
      <c r="F3946" s="1"/>
      <c r="G3946" s="1"/>
      <c r="I3946" s="1"/>
      <c r="J3946" s="1"/>
      <c r="L3946" s="1"/>
      <c r="M3946" s="1"/>
      <c r="O3946" s="2"/>
      <c r="P3946" s="2"/>
    </row>
    <row r="3947" spans="1:16" x14ac:dyDescent="0.25">
      <c r="A3947" s="2"/>
      <c r="B3947" s="2"/>
      <c r="F3947" s="1"/>
      <c r="G3947" s="1"/>
      <c r="I3947" s="1"/>
      <c r="J3947" s="1"/>
      <c r="L3947" s="1"/>
      <c r="M3947" s="1"/>
      <c r="O3947" s="2"/>
      <c r="P3947" s="2"/>
    </row>
    <row r="3948" spans="1:16" x14ac:dyDescent="0.25">
      <c r="A3948" s="2"/>
      <c r="B3948" s="2"/>
      <c r="F3948" s="1"/>
      <c r="G3948" s="1"/>
      <c r="I3948" s="1"/>
      <c r="J3948" s="1"/>
      <c r="L3948" s="1"/>
      <c r="M3948" s="1"/>
      <c r="O3948" s="2"/>
      <c r="P3948" s="2"/>
    </row>
    <row r="3949" spans="1:16" x14ac:dyDescent="0.25">
      <c r="A3949" s="2"/>
      <c r="B3949" s="2"/>
      <c r="F3949" s="1"/>
      <c r="G3949" s="1"/>
      <c r="I3949" s="1"/>
      <c r="J3949" s="1"/>
      <c r="L3949" s="1"/>
      <c r="M3949" s="1"/>
      <c r="O3949" s="2"/>
      <c r="P3949" s="2"/>
    </row>
    <row r="3950" spans="1:16" x14ac:dyDescent="0.25">
      <c r="A3950" s="2"/>
      <c r="B3950" s="2"/>
      <c r="F3950" s="1"/>
      <c r="G3950" s="1"/>
      <c r="I3950" s="1"/>
      <c r="J3950" s="1"/>
      <c r="L3950" s="1"/>
      <c r="M3950" s="1"/>
      <c r="O3950" s="2"/>
      <c r="P3950" s="2"/>
    </row>
    <row r="3951" spans="1:16" x14ac:dyDescent="0.25">
      <c r="A3951" s="2"/>
      <c r="B3951" s="2"/>
      <c r="F3951" s="1"/>
      <c r="G3951" s="1"/>
      <c r="I3951" s="1"/>
      <c r="J3951" s="1"/>
      <c r="L3951" s="1"/>
      <c r="M3951" s="1"/>
      <c r="O3951" s="2"/>
      <c r="P3951" s="2"/>
    </row>
    <row r="3952" spans="1:16" x14ac:dyDescent="0.25">
      <c r="A3952" s="2"/>
      <c r="B3952" s="2"/>
      <c r="F3952" s="1"/>
      <c r="G3952" s="1"/>
      <c r="I3952" s="1"/>
      <c r="J3952" s="1"/>
      <c r="L3952" s="1"/>
      <c r="M3952" s="1"/>
      <c r="O3952" s="2"/>
      <c r="P3952" s="2"/>
    </row>
    <row r="3953" spans="1:16" x14ac:dyDescent="0.25">
      <c r="A3953" s="2"/>
      <c r="B3953" s="2"/>
      <c r="F3953" s="1"/>
      <c r="G3953" s="1"/>
      <c r="I3953" s="1"/>
      <c r="J3953" s="1"/>
      <c r="L3953" s="1"/>
      <c r="M3953" s="1"/>
      <c r="O3953" s="2"/>
      <c r="P3953" s="2"/>
    </row>
    <row r="3954" spans="1:16" x14ac:dyDescent="0.25">
      <c r="A3954" s="2"/>
      <c r="B3954" s="2"/>
      <c r="F3954" s="1"/>
      <c r="G3954" s="1"/>
      <c r="I3954" s="1"/>
      <c r="J3954" s="1"/>
      <c r="L3954" s="1"/>
      <c r="M3954" s="1"/>
      <c r="O3954" s="2"/>
      <c r="P3954" s="2"/>
    </row>
    <row r="3955" spans="1:16" x14ac:dyDescent="0.25">
      <c r="A3955" s="2"/>
      <c r="B3955" s="2"/>
      <c r="F3955" s="1"/>
      <c r="G3955" s="1"/>
      <c r="I3955" s="1"/>
      <c r="J3955" s="1"/>
      <c r="L3955" s="1"/>
      <c r="M3955" s="1"/>
      <c r="O3955" s="2"/>
      <c r="P3955" s="2"/>
    </row>
    <row r="3956" spans="1:16" x14ac:dyDescent="0.25">
      <c r="A3956" s="2"/>
      <c r="B3956" s="2"/>
      <c r="F3956" s="1"/>
      <c r="G3956" s="1"/>
      <c r="I3956" s="1"/>
      <c r="J3956" s="1"/>
      <c r="L3956" s="1"/>
      <c r="M3956" s="1"/>
      <c r="O3956" s="2"/>
      <c r="P3956" s="2"/>
    </row>
    <row r="3957" spans="1:16" x14ac:dyDescent="0.25">
      <c r="A3957" s="2"/>
      <c r="B3957" s="2"/>
      <c r="F3957" s="1"/>
      <c r="G3957" s="1"/>
      <c r="I3957" s="1"/>
      <c r="J3957" s="1"/>
      <c r="L3957" s="1"/>
      <c r="M3957" s="1"/>
      <c r="O3957" s="2"/>
      <c r="P3957" s="2"/>
    </row>
    <row r="3958" spans="1:16" x14ac:dyDescent="0.25">
      <c r="A3958" s="2"/>
      <c r="B3958" s="2"/>
      <c r="F3958" s="1"/>
      <c r="G3958" s="1"/>
      <c r="I3958" s="1"/>
      <c r="J3958" s="1"/>
      <c r="L3958" s="1"/>
      <c r="M3958" s="1"/>
      <c r="O3958" s="2"/>
      <c r="P3958" s="2"/>
    </row>
    <row r="3959" spans="1:16" x14ac:dyDescent="0.25">
      <c r="A3959" s="2"/>
      <c r="B3959" s="2"/>
      <c r="F3959" s="1"/>
      <c r="G3959" s="1"/>
      <c r="I3959" s="1"/>
      <c r="J3959" s="1"/>
      <c r="L3959" s="1"/>
      <c r="M3959" s="1"/>
      <c r="O3959" s="2"/>
      <c r="P3959" s="2"/>
    </row>
    <row r="3960" spans="1:16" x14ac:dyDescent="0.25">
      <c r="A3960" s="2"/>
      <c r="B3960" s="2"/>
      <c r="F3960" s="1"/>
      <c r="G3960" s="1"/>
      <c r="I3960" s="1"/>
      <c r="J3960" s="1"/>
      <c r="L3960" s="1"/>
      <c r="M3960" s="1"/>
      <c r="O3960" s="2"/>
      <c r="P3960" s="2"/>
    </row>
    <row r="3961" spans="1:16" x14ac:dyDescent="0.25">
      <c r="A3961" s="2"/>
      <c r="B3961" s="2"/>
      <c r="F3961" s="1"/>
      <c r="G3961" s="1"/>
      <c r="I3961" s="1"/>
      <c r="J3961" s="1"/>
      <c r="L3961" s="1"/>
      <c r="M3961" s="1"/>
      <c r="O3961" s="2"/>
      <c r="P3961" s="2"/>
    </row>
    <row r="3962" spans="1:16" x14ac:dyDescent="0.25">
      <c r="A3962" s="2"/>
      <c r="B3962" s="2"/>
      <c r="F3962" s="1"/>
      <c r="G3962" s="1"/>
      <c r="I3962" s="1"/>
      <c r="J3962" s="1"/>
      <c r="L3962" s="1"/>
      <c r="M3962" s="1"/>
      <c r="O3962" s="2"/>
      <c r="P3962" s="2"/>
    </row>
    <row r="3963" spans="1:16" x14ac:dyDescent="0.25">
      <c r="A3963" s="2"/>
      <c r="B3963" s="2"/>
      <c r="F3963" s="1"/>
      <c r="G3963" s="1"/>
      <c r="I3963" s="1"/>
      <c r="J3963" s="1"/>
      <c r="L3963" s="1"/>
      <c r="M3963" s="1"/>
      <c r="O3963" s="2"/>
      <c r="P3963" s="2"/>
    </row>
    <row r="3964" spans="1:16" x14ac:dyDescent="0.25">
      <c r="A3964" s="2"/>
      <c r="B3964" s="2"/>
      <c r="F3964" s="1"/>
      <c r="G3964" s="1"/>
      <c r="I3964" s="1"/>
      <c r="J3964" s="1"/>
      <c r="L3964" s="1"/>
      <c r="M3964" s="1"/>
      <c r="O3964" s="2"/>
      <c r="P3964" s="2"/>
    </row>
    <row r="3965" spans="1:16" x14ac:dyDescent="0.25">
      <c r="A3965" s="2"/>
      <c r="B3965" s="2"/>
      <c r="F3965" s="1"/>
      <c r="G3965" s="1"/>
      <c r="I3965" s="1"/>
      <c r="J3965" s="1"/>
      <c r="L3965" s="1"/>
      <c r="M3965" s="1"/>
      <c r="O3965" s="2"/>
      <c r="P3965" s="2"/>
    </row>
    <row r="3966" spans="1:16" x14ac:dyDescent="0.25">
      <c r="A3966" s="2"/>
      <c r="B3966" s="2"/>
      <c r="F3966" s="1"/>
      <c r="G3966" s="1"/>
      <c r="I3966" s="1"/>
      <c r="J3966" s="1"/>
      <c r="L3966" s="1"/>
      <c r="M3966" s="1"/>
      <c r="O3966" s="2"/>
      <c r="P3966" s="2"/>
    </row>
    <row r="3967" spans="1:16" x14ac:dyDescent="0.25">
      <c r="A3967" s="2"/>
      <c r="B3967" s="2"/>
      <c r="F3967" s="1"/>
      <c r="G3967" s="1"/>
      <c r="I3967" s="1"/>
      <c r="J3967" s="1"/>
      <c r="L3967" s="1"/>
      <c r="M3967" s="1"/>
      <c r="O3967" s="2"/>
      <c r="P3967" s="2"/>
    </row>
    <row r="3968" spans="1:16" x14ac:dyDescent="0.25">
      <c r="A3968" s="2"/>
      <c r="B3968" s="2"/>
      <c r="F3968" s="1"/>
      <c r="G3968" s="1"/>
      <c r="I3968" s="1"/>
      <c r="J3968" s="1"/>
      <c r="L3968" s="1"/>
      <c r="M3968" s="1"/>
      <c r="O3968" s="2"/>
      <c r="P3968" s="2"/>
    </row>
    <row r="3969" spans="1:16" x14ac:dyDescent="0.25">
      <c r="A3969" s="2"/>
      <c r="B3969" s="2"/>
      <c r="F3969" s="1"/>
      <c r="G3969" s="1"/>
      <c r="I3969" s="1"/>
      <c r="J3969" s="1"/>
      <c r="L3969" s="1"/>
      <c r="M3969" s="1"/>
      <c r="O3969" s="2"/>
      <c r="P3969" s="2"/>
    </row>
    <row r="3970" spans="1:16" x14ac:dyDescent="0.25">
      <c r="A3970" s="2"/>
      <c r="B3970" s="2"/>
      <c r="F3970" s="1"/>
      <c r="G3970" s="1"/>
      <c r="I3970" s="1"/>
      <c r="J3970" s="1"/>
      <c r="L3970" s="1"/>
      <c r="M3970" s="1"/>
      <c r="O3970" s="2"/>
      <c r="P3970" s="2"/>
    </row>
    <row r="3971" spans="1:16" x14ac:dyDescent="0.25">
      <c r="A3971" s="2"/>
      <c r="B3971" s="2"/>
      <c r="F3971" s="1"/>
      <c r="G3971" s="1"/>
      <c r="I3971" s="1"/>
      <c r="J3971" s="1"/>
      <c r="L3971" s="1"/>
      <c r="M3971" s="1"/>
      <c r="O3971" s="2"/>
      <c r="P3971" s="2"/>
    </row>
    <row r="3972" spans="1:16" x14ac:dyDescent="0.25">
      <c r="A3972" s="2"/>
      <c r="B3972" s="2"/>
      <c r="F3972" s="1"/>
      <c r="G3972" s="1"/>
      <c r="I3972" s="1"/>
      <c r="J3972" s="1"/>
      <c r="L3972" s="1"/>
      <c r="M3972" s="1"/>
      <c r="O3972" s="2"/>
      <c r="P3972" s="2"/>
    </row>
    <row r="3973" spans="1:16" x14ac:dyDescent="0.25">
      <c r="A3973" s="2"/>
      <c r="B3973" s="2"/>
      <c r="F3973" s="1"/>
      <c r="G3973" s="1"/>
      <c r="I3973" s="1"/>
      <c r="J3973" s="1"/>
      <c r="L3973" s="1"/>
      <c r="M3973" s="1"/>
      <c r="O3973" s="2"/>
      <c r="P3973" s="2"/>
    </row>
    <row r="3974" spans="1:16" x14ac:dyDescent="0.25">
      <c r="A3974" s="2"/>
      <c r="B3974" s="2"/>
      <c r="F3974" s="1"/>
      <c r="G3974" s="1"/>
      <c r="I3974" s="1"/>
      <c r="J3974" s="1"/>
      <c r="L3974" s="1"/>
      <c r="M3974" s="1"/>
      <c r="O3974" s="2"/>
      <c r="P3974" s="2"/>
    </row>
    <row r="3975" spans="1:16" x14ac:dyDescent="0.25">
      <c r="A3975" s="2"/>
      <c r="B3975" s="2"/>
      <c r="F3975" s="1"/>
      <c r="G3975" s="1"/>
      <c r="I3975" s="1"/>
      <c r="J3975" s="1"/>
      <c r="L3975" s="1"/>
      <c r="M3975" s="1"/>
      <c r="O3975" s="2"/>
      <c r="P3975" s="2"/>
    </row>
    <row r="3976" spans="1:16" x14ac:dyDescent="0.25">
      <c r="A3976" s="2"/>
      <c r="B3976" s="2"/>
      <c r="F3976" s="1"/>
      <c r="G3976" s="1"/>
      <c r="I3976" s="1"/>
      <c r="J3976" s="1"/>
      <c r="L3976" s="1"/>
      <c r="M3976" s="1"/>
      <c r="O3976" s="2"/>
      <c r="P3976" s="2"/>
    </row>
    <row r="3977" spans="1:16" x14ac:dyDescent="0.25">
      <c r="A3977" s="2"/>
      <c r="B3977" s="2"/>
      <c r="F3977" s="1"/>
      <c r="G3977" s="1"/>
      <c r="I3977" s="1"/>
      <c r="J3977" s="1"/>
      <c r="L3977" s="1"/>
      <c r="M3977" s="1"/>
      <c r="O3977" s="2"/>
      <c r="P3977" s="2"/>
    </row>
    <row r="3978" spans="1:16" x14ac:dyDescent="0.25">
      <c r="A3978" s="2"/>
      <c r="B3978" s="2"/>
      <c r="F3978" s="1"/>
      <c r="G3978" s="1"/>
      <c r="I3978" s="1"/>
      <c r="J3978" s="1"/>
      <c r="L3978" s="1"/>
      <c r="M3978" s="1"/>
      <c r="O3978" s="2"/>
      <c r="P3978" s="2"/>
    </row>
    <row r="3979" spans="1:16" x14ac:dyDescent="0.25">
      <c r="A3979" s="2"/>
      <c r="B3979" s="2"/>
      <c r="F3979" s="1"/>
      <c r="G3979" s="1"/>
      <c r="I3979" s="1"/>
      <c r="J3979" s="1"/>
      <c r="L3979" s="1"/>
      <c r="M3979" s="1"/>
      <c r="O3979" s="2"/>
      <c r="P3979" s="2"/>
    </row>
    <row r="3980" spans="1:16" x14ac:dyDescent="0.25">
      <c r="A3980" s="2"/>
      <c r="B3980" s="2"/>
      <c r="F3980" s="1"/>
      <c r="G3980" s="1"/>
      <c r="I3980" s="1"/>
      <c r="J3980" s="1"/>
      <c r="L3980" s="1"/>
      <c r="M3980" s="1"/>
      <c r="O3980" s="2"/>
      <c r="P3980" s="2"/>
    </row>
    <row r="3981" spans="1:16" x14ac:dyDescent="0.25">
      <c r="A3981" s="2"/>
      <c r="B3981" s="2"/>
      <c r="F3981" s="1"/>
      <c r="G3981" s="1"/>
      <c r="I3981" s="1"/>
      <c r="J3981" s="1"/>
      <c r="L3981" s="1"/>
      <c r="M3981" s="1"/>
      <c r="O3981" s="2"/>
      <c r="P3981" s="2"/>
    </row>
    <row r="3982" spans="1:16" x14ac:dyDescent="0.25">
      <c r="A3982" s="2"/>
      <c r="B3982" s="2"/>
      <c r="F3982" s="1"/>
      <c r="G3982" s="1"/>
      <c r="I3982" s="1"/>
      <c r="J3982" s="1"/>
      <c r="L3982" s="1"/>
      <c r="M3982" s="1"/>
      <c r="O3982" s="2"/>
      <c r="P3982" s="2"/>
    </row>
    <row r="3983" spans="1:16" x14ac:dyDescent="0.25">
      <c r="A3983" s="2"/>
      <c r="B3983" s="2"/>
      <c r="F3983" s="1"/>
      <c r="G3983" s="1"/>
      <c r="I3983" s="1"/>
      <c r="J3983" s="1"/>
      <c r="L3983" s="1"/>
      <c r="M3983" s="1"/>
      <c r="O3983" s="2"/>
      <c r="P3983" s="2"/>
    </row>
    <row r="3984" spans="1:16" x14ac:dyDescent="0.25">
      <c r="A3984" s="2"/>
      <c r="B3984" s="2"/>
      <c r="F3984" s="1"/>
      <c r="G3984" s="1"/>
      <c r="I3984" s="1"/>
      <c r="J3984" s="1"/>
      <c r="L3984" s="1"/>
      <c r="M3984" s="1"/>
      <c r="O3984" s="2"/>
      <c r="P3984" s="2"/>
    </row>
    <row r="3985" spans="1:16" x14ac:dyDescent="0.25">
      <c r="A3985" s="2"/>
      <c r="B3985" s="2"/>
      <c r="F3985" s="1"/>
      <c r="G3985" s="1"/>
      <c r="I3985" s="1"/>
      <c r="J3985" s="1"/>
      <c r="L3985" s="1"/>
      <c r="M3985" s="1"/>
      <c r="O3985" s="2"/>
      <c r="P3985" s="2"/>
    </row>
    <row r="3986" spans="1:16" x14ac:dyDescent="0.25">
      <c r="A3986" s="2"/>
      <c r="B3986" s="2"/>
      <c r="F3986" s="1"/>
      <c r="G3986" s="1"/>
      <c r="I3986" s="1"/>
      <c r="J3986" s="1"/>
      <c r="L3986" s="1"/>
      <c r="M3986" s="1"/>
      <c r="O3986" s="2"/>
      <c r="P3986" s="2"/>
    </row>
    <row r="3987" spans="1:16" x14ac:dyDescent="0.25">
      <c r="A3987" s="2"/>
      <c r="B3987" s="2"/>
      <c r="F3987" s="1"/>
      <c r="G3987" s="1"/>
      <c r="I3987" s="1"/>
      <c r="J3987" s="1"/>
      <c r="L3987" s="1"/>
      <c r="M3987" s="1"/>
      <c r="O3987" s="2"/>
      <c r="P3987" s="2"/>
    </row>
    <row r="3988" spans="1:16" x14ac:dyDescent="0.25">
      <c r="A3988" s="2"/>
      <c r="B3988" s="2"/>
      <c r="F3988" s="1"/>
      <c r="G3988" s="1"/>
      <c r="I3988" s="1"/>
      <c r="J3988" s="1"/>
      <c r="L3988" s="1"/>
      <c r="M3988" s="1"/>
      <c r="O3988" s="2"/>
      <c r="P3988" s="2"/>
    </row>
    <row r="3989" spans="1:16" x14ac:dyDescent="0.25">
      <c r="A3989" s="2"/>
      <c r="B3989" s="2"/>
      <c r="F3989" s="1"/>
      <c r="G3989" s="1"/>
      <c r="I3989" s="1"/>
      <c r="J3989" s="1"/>
      <c r="L3989" s="1"/>
      <c r="M3989" s="1"/>
      <c r="O3989" s="2"/>
      <c r="P3989" s="2"/>
    </row>
    <row r="3990" spans="1:16" x14ac:dyDescent="0.25">
      <c r="A3990" s="2"/>
      <c r="B3990" s="2"/>
      <c r="F3990" s="1"/>
      <c r="G3990" s="1"/>
      <c r="I3990" s="1"/>
      <c r="J3990" s="1"/>
      <c r="L3990" s="1"/>
      <c r="M3990" s="1"/>
      <c r="O3990" s="2"/>
      <c r="P3990" s="2"/>
    </row>
    <row r="3991" spans="1:16" x14ac:dyDescent="0.25">
      <c r="A3991" s="2"/>
      <c r="B3991" s="2"/>
      <c r="F3991" s="1"/>
      <c r="G3991" s="1"/>
      <c r="I3991" s="1"/>
      <c r="J3991" s="1"/>
      <c r="L3991" s="1"/>
      <c r="M3991" s="1"/>
      <c r="O3991" s="2"/>
      <c r="P3991" s="2"/>
    </row>
    <row r="3992" spans="1:16" x14ac:dyDescent="0.25">
      <c r="A3992" s="2"/>
      <c r="B3992" s="2"/>
      <c r="F3992" s="1"/>
      <c r="G3992" s="1"/>
      <c r="I3992" s="1"/>
      <c r="J3992" s="1"/>
      <c r="L3992" s="1"/>
      <c r="M3992" s="1"/>
      <c r="O3992" s="2"/>
      <c r="P3992" s="2"/>
    </row>
    <row r="3993" spans="1:16" x14ac:dyDescent="0.25">
      <c r="A3993" s="2"/>
      <c r="B3993" s="2"/>
      <c r="F3993" s="1"/>
      <c r="G3993" s="1"/>
      <c r="I3993" s="1"/>
      <c r="J3993" s="1"/>
      <c r="L3993" s="1"/>
      <c r="M3993" s="1"/>
      <c r="O3993" s="2"/>
      <c r="P3993" s="2"/>
    </row>
    <row r="3994" spans="1:16" x14ac:dyDescent="0.25">
      <c r="A3994" s="2"/>
      <c r="B3994" s="2"/>
      <c r="F3994" s="1"/>
      <c r="G3994" s="1"/>
      <c r="I3994" s="1"/>
      <c r="J3994" s="1"/>
      <c r="L3994" s="1"/>
      <c r="M3994" s="1"/>
      <c r="O3994" s="2"/>
      <c r="P3994" s="2"/>
    </row>
    <row r="3995" spans="1:16" x14ac:dyDescent="0.25">
      <c r="A3995" s="2"/>
      <c r="B3995" s="2"/>
      <c r="F3995" s="1"/>
      <c r="G3995" s="1"/>
      <c r="I3995" s="1"/>
      <c r="J3995" s="1"/>
      <c r="L3995" s="1"/>
      <c r="M3995" s="1"/>
      <c r="O3995" s="2"/>
      <c r="P3995" s="2"/>
    </row>
    <row r="3996" spans="1:16" x14ac:dyDescent="0.25">
      <c r="A3996" s="2"/>
      <c r="B3996" s="2"/>
      <c r="F3996" s="1"/>
      <c r="G3996" s="1"/>
      <c r="I3996" s="1"/>
      <c r="J3996" s="1"/>
      <c r="L3996" s="1"/>
      <c r="M3996" s="1"/>
      <c r="O3996" s="2"/>
      <c r="P3996" s="2"/>
    </row>
    <row r="3997" spans="1:16" x14ac:dyDescent="0.25">
      <c r="A3997" s="2"/>
      <c r="B3997" s="2"/>
      <c r="F3997" s="1"/>
      <c r="G3997" s="1"/>
      <c r="I3997" s="1"/>
      <c r="J3997" s="1"/>
      <c r="L3997" s="1"/>
      <c r="M3997" s="1"/>
      <c r="O3997" s="2"/>
      <c r="P3997" s="2"/>
    </row>
    <row r="3998" spans="1:16" x14ac:dyDescent="0.25">
      <c r="A3998" s="2"/>
      <c r="B3998" s="2"/>
      <c r="F3998" s="1"/>
      <c r="G3998" s="1"/>
      <c r="I3998" s="1"/>
      <c r="J3998" s="1"/>
      <c r="L3998" s="1"/>
      <c r="M3998" s="1"/>
      <c r="O3998" s="2"/>
      <c r="P3998" s="2"/>
    </row>
    <row r="3999" spans="1:16" x14ac:dyDescent="0.25">
      <c r="A3999" s="2"/>
      <c r="B3999" s="2"/>
      <c r="F3999" s="1"/>
      <c r="G3999" s="1"/>
      <c r="I3999" s="1"/>
      <c r="J3999" s="1"/>
      <c r="L3999" s="1"/>
      <c r="M3999" s="1"/>
      <c r="O3999" s="2"/>
      <c r="P3999" s="2"/>
    </row>
    <row r="4000" spans="1:16" x14ac:dyDescent="0.25">
      <c r="A4000" s="2"/>
      <c r="B4000" s="2"/>
      <c r="F4000" s="1"/>
      <c r="G4000" s="1"/>
      <c r="I4000" s="1"/>
      <c r="J4000" s="1"/>
      <c r="L4000" s="1"/>
      <c r="M4000" s="1"/>
      <c r="O4000" s="2"/>
      <c r="P4000" s="2"/>
    </row>
    <row r="4001" spans="1:16" x14ac:dyDescent="0.25">
      <c r="A4001" s="2"/>
      <c r="B4001" s="2"/>
      <c r="F4001" s="1"/>
      <c r="G4001" s="1"/>
      <c r="I4001" s="1"/>
      <c r="J4001" s="1"/>
      <c r="L4001" s="1"/>
      <c r="M4001" s="1"/>
      <c r="O4001" s="2"/>
      <c r="P4001" s="2"/>
    </row>
    <row r="4002" spans="1:16" x14ac:dyDescent="0.25">
      <c r="A4002" s="2"/>
      <c r="B4002" s="2"/>
      <c r="F4002" s="1"/>
      <c r="G4002" s="1"/>
      <c r="I4002" s="1"/>
      <c r="J4002" s="1"/>
      <c r="L4002" s="1"/>
      <c r="M4002" s="1"/>
      <c r="O4002" s="2"/>
      <c r="P4002" s="2"/>
    </row>
    <row r="4003" spans="1:16" x14ac:dyDescent="0.25">
      <c r="A4003" s="2"/>
      <c r="B4003" s="2"/>
      <c r="F4003" s="1"/>
      <c r="G4003" s="1"/>
      <c r="I4003" s="1"/>
      <c r="J4003" s="1"/>
      <c r="L4003" s="1"/>
      <c r="M4003" s="1"/>
      <c r="O4003" s="2"/>
      <c r="P4003" s="2"/>
    </row>
    <row r="4004" spans="1:16" x14ac:dyDescent="0.25">
      <c r="A4004" s="2"/>
      <c r="B4004" s="2"/>
      <c r="F4004" s="1"/>
      <c r="G4004" s="1"/>
      <c r="I4004" s="1"/>
      <c r="J4004" s="1"/>
      <c r="L4004" s="1"/>
      <c r="M4004" s="1"/>
      <c r="O4004" s="2"/>
      <c r="P4004" s="2"/>
    </row>
    <row r="4005" spans="1:16" x14ac:dyDescent="0.25">
      <c r="A4005" s="2"/>
      <c r="B4005" s="2"/>
      <c r="F4005" s="1"/>
      <c r="G4005" s="1"/>
      <c r="I4005" s="1"/>
      <c r="J4005" s="1"/>
      <c r="L4005" s="1"/>
      <c r="M4005" s="1"/>
      <c r="O4005" s="2"/>
      <c r="P4005" s="2"/>
    </row>
    <row r="4006" spans="1:16" x14ac:dyDescent="0.25">
      <c r="A4006" s="2"/>
      <c r="B4006" s="2"/>
      <c r="F4006" s="1"/>
      <c r="G4006" s="1"/>
      <c r="I4006" s="1"/>
      <c r="J4006" s="1"/>
      <c r="L4006" s="1"/>
      <c r="M4006" s="1"/>
      <c r="O4006" s="2"/>
      <c r="P4006" s="2"/>
    </row>
    <row r="4007" spans="1:16" x14ac:dyDescent="0.25">
      <c r="A4007" s="2"/>
      <c r="B4007" s="2"/>
      <c r="F4007" s="1"/>
      <c r="G4007" s="1"/>
      <c r="I4007" s="1"/>
      <c r="J4007" s="1"/>
      <c r="L4007" s="1"/>
      <c r="M4007" s="1"/>
      <c r="O4007" s="2"/>
      <c r="P4007" s="2"/>
    </row>
    <row r="4008" spans="1:16" x14ac:dyDescent="0.25">
      <c r="A4008" s="2"/>
      <c r="B4008" s="2"/>
      <c r="F4008" s="1"/>
      <c r="G4008" s="1"/>
      <c r="I4008" s="1"/>
      <c r="J4008" s="1"/>
      <c r="L4008" s="1"/>
      <c r="M4008" s="1"/>
      <c r="O4008" s="2"/>
      <c r="P4008" s="2"/>
    </row>
    <row r="4009" spans="1:16" x14ac:dyDescent="0.25">
      <c r="A4009" s="2"/>
      <c r="B4009" s="2"/>
      <c r="F4009" s="1"/>
      <c r="G4009" s="1"/>
      <c r="I4009" s="1"/>
      <c r="J4009" s="1"/>
      <c r="L4009" s="1"/>
      <c r="M4009" s="1"/>
      <c r="O4009" s="2"/>
      <c r="P4009" s="2"/>
    </row>
    <row r="4010" spans="1:16" x14ac:dyDescent="0.25">
      <c r="A4010" s="2"/>
      <c r="B4010" s="2"/>
      <c r="F4010" s="1"/>
      <c r="G4010" s="1"/>
      <c r="I4010" s="1"/>
      <c r="J4010" s="1"/>
      <c r="L4010" s="1"/>
      <c r="M4010" s="1"/>
      <c r="O4010" s="2"/>
      <c r="P4010" s="2"/>
    </row>
    <row r="4011" spans="1:16" x14ac:dyDescent="0.25">
      <c r="A4011" s="2"/>
      <c r="B4011" s="2"/>
      <c r="F4011" s="1"/>
      <c r="G4011" s="1"/>
      <c r="I4011" s="1"/>
      <c r="J4011" s="1"/>
      <c r="L4011" s="1"/>
      <c r="M4011" s="1"/>
      <c r="O4011" s="2"/>
      <c r="P4011" s="2"/>
    </row>
    <row r="4012" spans="1:16" x14ac:dyDescent="0.25">
      <c r="A4012" s="2"/>
      <c r="B4012" s="2"/>
      <c r="F4012" s="1"/>
      <c r="G4012" s="1"/>
      <c r="I4012" s="1"/>
      <c r="J4012" s="1"/>
      <c r="L4012" s="1"/>
      <c r="M4012" s="1"/>
      <c r="O4012" s="2"/>
      <c r="P4012" s="2"/>
    </row>
    <row r="4013" spans="1:16" x14ac:dyDescent="0.25">
      <c r="A4013" s="2"/>
      <c r="B4013" s="2"/>
      <c r="F4013" s="1"/>
      <c r="G4013" s="1"/>
      <c r="I4013" s="1"/>
      <c r="J4013" s="1"/>
      <c r="L4013" s="1"/>
      <c r="M4013" s="1"/>
      <c r="O4013" s="2"/>
      <c r="P4013" s="2"/>
    </row>
    <row r="4014" spans="1:16" x14ac:dyDescent="0.25">
      <c r="A4014" s="2"/>
      <c r="B4014" s="2"/>
      <c r="F4014" s="1"/>
      <c r="G4014" s="1"/>
      <c r="I4014" s="1"/>
      <c r="J4014" s="1"/>
      <c r="L4014" s="1"/>
      <c r="M4014" s="1"/>
      <c r="O4014" s="2"/>
      <c r="P4014" s="2"/>
    </row>
    <row r="4015" spans="1:16" x14ac:dyDescent="0.25">
      <c r="A4015" s="2"/>
      <c r="B4015" s="2"/>
      <c r="F4015" s="1"/>
      <c r="G4015" s="1"/>
      <c r="I4015" s="1"/>
      <c r="J4015" s="1"/>
      <c r="L4015" s="1"/>
      <c r="M4015" s="1"/>
      <c r="O4015" s="2"/>
      <c r="P4015" s="2"/>
    </row>
    <row r="4016" spans="1:16" x14ac:dyDescent="0.25">
      <c r="A4016" s="2"/>
      <c r="B4016" s="2"/>
      <c r="F4016" s="1"/>
      <c r="G4016" s="1"/>
      <c r="I4016" s="1"/>
      <c r="J4016" s="1"/>
      <c r="L4016" s="1"/>
      <c r="M4016" s="1"/>
      <c r="O4016" s="2"/>
      <c r="P4016" s="2"/>
    </row>
    <row r="4017" spans="1:16" x14ac:dyDescent="0.25">
      <c r="A4017" s="2"/>
      <c r="B4017" s="2"/>
      <c r="F4017" s="1"/>
      <c r="G4017" s="1"/>
      <c r="I4017" s="1"/>
      <c r="J4017" s="1"/>
      <c r="L4017" s="1"/>
      <c r="M4017" s="1"/>
      <c r="O4017" s="2"/>
      <c r="P4017" s="2"/>
    </row>
    <row r="4018" spans="1:16" x14ac:dyDescent="0.25">
      <c r="A4018" s="2"/>
      <c r="B4018" s="2"/>
      <c r="F4018" s="1"/>
      <c r="G4018" s="1"/>
      <c r="I4018" s="1"/>
      <c r="J4018" s="1"/>
      <c r="L4018" s="1"/>
      <c r="M4018" s="1"/>
      <c r="O4018" s="2"/>
      <c r="P4018" s="2"/>
    </row>
    <row r="4019" spans="1:16" x14ac:dyDescent="0.25">
      <c r="A4019" s="2"/>
      <c r="B4019" s="2"/>
      <c r="F4019" s="1"/>
      <c r="G4019" s="1"/>
      <c r="I4019" s="1"/>
      <c r="J4019" s="1"/>
      <c r="L4019" s="1"/>
      <c r="M4019" s="1"/>
      <c r="O4019" s="2"/>
      <c r="P4019" s="2"/>
    </row>
    <row r="4020" spans="1:16" x14ac:dyDescent="0.25">
      <c r="A4020" s="2"/>
      <c r="B4020" s="2"/>
      <c r="F4020" s="1"/>
      <c r="G4020" s="1"/>
      <c r="I4020" s="1"/>
      <c r="J4020" s="1"/>
      <c r="L4020" s="1"/>
      <c r="M4020" s="1"/>
      <c r="O4020" s="2"/>
      <c r="P4020" s="2"/>
    </row>
    <row r="4021" spans="1:16" x14ac:dyDescent="0.25">
      <c r="A4021" s="2"/>
      <c r="B4021" s="2"/>
      <c r="F4021" s="1"/>
      <c r="G4021" s="1"/>
      <c r="I4021" s="1"/>
      <c r="J4021" s="1"/>
      <c r="L4021" s="1"/>
      <c r="M4021" s="1"/>
      <c r="O4021" s="2"/>
      <c r="P4021" s="2"/>
    </row>
    <row r="4022" spans="1:16" x14ac:dyDescent="0.25">
      <c r="A4022" s="2"/>
      <c r="B4022" s="2"/>
      <c r="F4022" s="1"/>
      <c r="G4022" s="1"/>
      <c r="I4022" s="1"/>
      <c r="J4022" s="1"/>
      <c r="L4022" s="1"/>
      <c r="M4022" s="1"/>
      <c r="O4022" s="2"/>
      <c r="P4022" s="2"/>
    </row>
    <row r="4023" spans="1:16" x14ac:dyDescent="0.25">
      <c r="A4023" s="2"/>
      <c r="B4023" s="2"/>
      <c r="F4023" s="1"/>
      <c r="G4023" s="1"/>
      <c r="I4023" s="1"/>
      <c r="J4023" s="1"/>
      <c r="L4023" s="1"/>
      <c r="M4023" s="1"/>
      <c r="O4023" s="2"/>
      <c r="P4023" s="2"/>
    </row>
    <row r="4024" spans="1:16" x14ac:dyDescent="0.25">
      <c r="A4024" s="2"/>
      <c r="B4024" s="2"/>
      <c r="F4024" s="1"/>
      <c r="G4024" s="1"/>
      <c r="I4024" s="1"/>
      <c r="J4024" s="1"/>
      <c r="L4024" s="1"/>
      <c r="M4024" s="1"/>
      <c r="O4024" s="2"/>
      <c r="P4024" s="2"/>
    </row>
    <row r="4025" spans="1:16" x14ac:dyDescent="0.25">
      <c r="A4025" s="2"/>
      <c r="B4025" s="2"/>
      <c r="F4025" s="1"/>
      <c r="G4025" s="1"/>
      <c r="I4025" s="1"/>
      <c r="J4025" s="1"/>
      <c r="L4025" s="1"/>
      <c r="M4025" s="1"/>
      <c r="O4025" s="2"/>
      <c r="P4025" s="2"/>
    </row>
    <row r="4026" spans="1:16" x14ac:dyDescent="0.25">
      <c r="A4026" s="2"/>
      <c r="B4026" s="2"/>
      <c r="F4026" s="1"/>
      <c r="G4026" s="1"/>
      <c r="I4026" s="1"/>
      <c r="J4026" s="1"/>
      <c r="L4026" s="1"/>
      <c r="M4026" s="1"/>
      <c r="O4026" s="2"/>
      <c r="P4026" s="2"/>
    </row>
    <row r="4027" spans="1:16" x14ac:dyDescent="0.25">
      <c r="A4027" s="2"/>
      <c r="B4027" s="2"/>
      <c r="F4027" s="1"/>
      <c r="G4027" s="1"/>
      <c r="I4027" s="1"/>
      <c r="J4027" s="1"/>
      <c r="L4027" s="1"/>
      <c r="M4027" s="1"/>
      <c r="O4027" s="2"/>
      <c r="P4027" s="2"/>
    </row>
    <row r="4028" spans="1:16" x14ac:dyDescent="0.25">
      <c r="A4028" s="2"/>
      <c r="B4028" s="2"/>
      <c r="F4028" s="1"/>
      <c r="G4028" s="1"/>
      <c r="I4028" s="1"/>
      <c r="J4028" s="1"/>
      <c r="L4028" s="1"/>
      <c r="M4028" s="1"/>
      <c r="O4028" s="2"/>
      <c r="P4028" s="2"/>
    </row>
    <row r="4029" spans="1:16" x14ac:dyDescent="0.25">
      <c r="A4029" s="2"/>
      <c r="B4029" s="2"/>
      <c r="F4029" s="1"/>
      <c r="G4029" s="1"/>
      <c r="I4029" s="1"/>
      <c r="J4029" s="1"/>
      <c r="L4029" s="1"/>
      <c r="M4029" s="1"/>
      <c r="O4029" s="2"/>
      <c r="P4029" s="2"/>
    </row>
    <row r="4030" spans="1:16" x14ac:dyDescent="0.25">
      <c r="A4030" s="2"/>
      <c r="B4030" s="2"/>
      <c r="F4030" s="1"/>
      <c r="G4030" s="1"/>
      <c r="I4030" s="1"/>
      <c r="J4030" s="1"/>
      <c r="L4030" s="1"/>
      <c r="M4030" s="1"/>
      <c r="O4030" s="2"/>
      <c r="P4030" s="2"/>
    </row>
    <row r="4031" spans="1:16" x14ac:dyDescent="0.25">
      <c r="A4031" s="2"/>
      <c r="B4031" s="2"/>
      <c r="F4031" s="1"/>
      <c r="G4031" s="1"/>
      <c r="I4031" s="1"/>
      <c r="J4031" s="1"/>
      <c r="L4031" s="1"/>
      <c r="M4031" s="1"/>
      <c r="O4031" s="2"/>
      <c r="P4031" s="2"/>
    </row>
    <row r="4032" spans="1:16" x14ac:dyDescent="0.25">
      <c r="A4032" s="2"/>
      <c r="B4032" s="2"/>
      <c r="F4032" s="1"/>
      <c r="G4032" s="1"/>
      <c r="I4032" s="1"/>
      <c r="J4032" s="1"/>
      <c r="L4032" s="1"/>
      <c r="M4032" s="1"/>
      <c r="O4032" s="2"/>
      <c r="P4032" s="2"/>
    </row>
    <row r="4033" spans="1:16" x14ac:dyDescent="0.25">
      <c r="A4033" s="2"/>
      <c r="B4033" s="2"/>
      <c r="F4033" s="1"/>
      <c r="G4033" s="1"/>
      <c r="I4033" s="1"/>
      <c r="J4033" s="1"/>
      <c r="L4033" s="1"/>
      <c r="M4033" s="1"/>
      <c r="O4033" s="2"/>
      <c r="P4033" s="2"/>
    </row>
    <row r="4034" spans="1:16" x14ac:dyDescent="0.25">
      <c r="A4034" s="2"/>
      <c r="B4034" s="2"/>
      <c r="F4034" s="1"/>
      <c r="G4034" s="1"/>
      <c r="I4034" s="1"/>
      <c r="J4034" s="1"/>
      <c r="L4034" s="1"/>
      <c r="M4034" s="1"/>
      <c r="O4034" s="2"/>
      <c r="P4034" s="2"/>
    </row>
    <row r="4035" spans="1:16" x14ac:dyDescent="0.25">
      <c r="A4035" s="2"/>
      <c r="B4035" s="2"/>
      <c r="F4035" s="1"/>
      <c r="G4035" s="1"/>
      <c r="I4035" s="1"/>
      <c r="J4035" s="1"/>
      <c r="L4035" s="1"/>
      <c r="M4035" s="1"/>
      <c r="O4035" s="2"/>
      <c r="P4035" s="2"/>
    </row>
    <row r="4036" spans="1:16" x14ac:dyDescent="0.25">
      <c r="A4036" s="2"/>
      <c r="B4036" s="2"/>
      <c r="F4036" s="1"/>
      <c r="G4036" s="1"/>
      <c r="I4036" s="1"/>
      <c r="J4036" s="1"/>
      <c r="L4036" s="1"/>
      <c r="M4036" s="1"/>
      <c r="O4036" s="2"/>
      <c r="P4036" s="2"/>
    </row>
    <row r="4037" spans="1:16" x14ac:dyDescent="0.25">
      <c r="A4037" s="2"/>
      <c r="B4037" s="2"/>
      <c r="F4037" s="1"/>
      <c r="G4037" s="1"/>
      <c r="I4037" s="1"/>
      <c r="J4037" s="1"/>
      <c r="L4037" s="1"/>
      <c r="M4037" s="1"/>
      <c r="O4037" s="2"/>
      <c r="P4037" s="2"/>
    </row>
    <row r="4038" spans="1:16" x14ac:dyDescent="0.25">
      <c r="A4038" s="2"/>
      <c r="B4038" s="2"/>
      <c r="F4038" s="1"/>
      <c r="G4038" s="1"/>
      <c r="I4038" s="1"/>
      <c r="J4038" s="1"/>
      <c r="L4038" s="1"/>
      <c r="M4038" s="1"/>
      <c r="O4038" s="2"/>
      <c r="P4038" s="2"/>
    </row>
    <row r="4039" spans="1:16" x14ac:dyDescent="0.25">
      <c r="A4039" s="2"/>
      <c r="B4039" s="2"/>
      <c r="F4039" s="1"/>
      <c r="G4039" s="1"/>
      <c r="I4039" s="1"/>
      <c r="J4039" s="1"/>
      <c r="L4039" s="1"/>
      <c r="M4039" s="1"/>
      <c r="O4039" s="2"/>
      <c r="P4039" s="2"/>
    </row>
    <row r="4040" spans="1:16" x14ac:dyDescent="0.25">
      <c r="A4040" s="2"/>
      <c r="B4040" s="2"/>
      <c r="F4040" s="1"/>
      <c r="G4040" s="1"/>
      <c r="I4040" s="1"/>
      <c r="J4040" s="1"/>
      <c r="L4040" s="1"/>
      <c r="M4040" s="1"/>
      <c r="O4040" s="2"/>
      <c r="P4040" s="2"/>
    </row>
    <row r="4041" spans="1:16" x14ac:dyDescent="0.25">
      <c r="A4041" s="2"/>
      <c r="B4041" s="2"/>
      <c r="F4041" s="1"/>
      <c r="G4041" s="1"/>
      <c r="I4041" s="1"/>
      <c r="J4041" s="1"/>
      <c r="L4041" s="1"/>
      <c r="M4041" s="1"/>
      <c r="O4041" s="2"/>
      <c r="P4041" s="2"/>
    </row>
    <row r="4042" spans="1:16" x14ac:dyDescent="0.25">
      <c r="A4042" s="2"/>
      <c r="B4042" s="2"/>
      <c r="F4042" s="1"/>
      <c r="G4042" s="1"/>
      <c r="I4042" s="1"/>
      <c r="J4042" s="1"/>
      <c r="L4042" s="1"/>
      <c r="M4042" s="1"/>
      <c r="O4042" s="2"/>
      <c r="P4042" s="2"/>
    </row>
    <row r="4043" spans="1:16" x14ac:dyDescent="0.25">
      <c r="A4043" s="2"/>
      <c r="B4043" s="2"/>
      <c r="F4043" s="1"/>
      <c r="G4043" s="1"/>
      <c r="I4043" s="1"/>
      <c r="J4043" s="1"/>
      <c r="L4043" s="1"/>
      <c r="M4043" s="1"/>
      <c r="O4043" s="2"/>
      <c r="P4043" s="2"/>
    </row>
    <row r="4044" spans="1:16" x14ac:dyDescent="0.25">
      <c r="A4044" s="2"/>
      <c r="B4044" s="2"/>
      <c r="F4044" s="1"/>
      <c r="G4044" s="1"/>
      <c r="I4044" s="1"/>
      <c r="J4044" s="1"/>
      <c r="L4044" s="1"/>
      <c r="M4044" s="1"/>
      <c r="O4044" s="2"/>
      <c r="P4044" s="2"/>
    </row>
    <row r="4045" spans="1:16" x14ac:dyDescent="0.25">
      <c r="A4045" s="2"/>
      <c r="B4045" s="2"/>
      <c r="F4045" s="1"/>
      <c r="G4045" s="1"/>
      <c r="I4045" s="1"/>
      <c r="J4045" s="1"/>
      <c r="L4045" s="1"/>
      <c r="M4045" s="1"/>
      <c r="O4045" s="2"/>
      <c r="P4045" s="2"/>
    </row>
    <row r="4046" spans="1:16" x14ac:dyDescent="0.25">
      <c r="A4046" s="2"/>
      <c r="B4046" s="2"/>
      <c r="F4046" s="1"/>
      <c r="G4046" s="1"/>
      <c r="I4046" s="1"/>
      <c r="J4046" s="1"/>
      <c r="L4046" s="1"/>
      <c r="M4046" s="1"/>
      <c r="O4046" s="2"/>
      <c r="P4046" s="2"/>
    </row>
    <row r="4047" spans="1:16" x14ac:dyDescent="0.25">
      <c r="A4047" s="2"/>
      <c r="B4047" s="2"/>
      <c r="F4047" s="1"/>
      <c r="G4047" s="1"/>
      <c r="I4047" s="1"/>
      <c r="J4047" s="1"/>
      <c r="L4047" s="1"/>
      <c r="M4047" s="1"/>
      <c r="O4047" s="2"/>
      <c r="P4047" s="2"/>
    </row>
    <row r="4048" spans="1:16" x14ac:dyDescent="0.25">
      <c r="A4048" s="2"/>
      <c r="B4048" s="2"/>
      <c r="F4048" s="1"/>
      <c r="G4048" s="1"/>
      <c r="I4048" s="1"/>
      <c r="J4048" s="1"/>
      <c r="L4048" s="1"/>
      <c r="M4048" s="1"/>
      <c r="O4048" s="2"/>
      <c r="P4048" s="2"/>
    </row>
    <row r="4049" spans="1:16" x14ac:dyDescent="0.25">
      <c r="A4049" s="2"/>
      <c r="B4049" s="2"/>
      <c r="F4049" s="1"/>
      <c r="G4049" s="1"/>
      <c r="I4049" s="1"/>
      <c r="J4049" s="1"/>
      <c r="L4049" s="1"/>
      <c r="M4049" s="1"/>
      <c r="O4049" s="2"/>
      <c r="P4049" s="2"/>
    </row>
    <row r="4050" spans="1:16" x14ac:dyDescent="0.25">
      <c r="A4050" s="2"/>
      <c r="B4050" s="2"/>
      <c r="F4050" s="1"/>
      <c r="G4050" s="1"/>
      <c r="I4050" s="1"/>
      <c r="J4050" s="1"/>
      <c r="L4050" s="1"/>
      <c r="M4050" s="1"/>
      <c r="O4050" s="2"/>
      <c r="P4050" s="2"/>
    </row>
    <row r="4051" spans="1:16" x14ac:dyDescent="0.25">
      <c r="A4051" s="2"/>
      <c r="B4051" s="2"/>
      <c r="F4051" s="1"/>
      <c r="G4051" s="1"/>
      <c r="I4051" s="1"/>
      <c r="J4051" s="1"/>
      <c r="L4051" s="1"/>
      <c r="M4051" s="1"/>
      <c r="O4051" s="2"/>
      <c r="P4051" s="2"/>
    </row>
    <row r="4052" spans="1:16" x14ac:dyDescent="0.25">
      <c r="A4052" s="2"/>
      <c r="B4052" s="2"/>
      <c r="F4052" s="1"/>
      <c r="G4052" s="1"/>
      <c r="I4052" s="1"/>
      <c r="J4052" s="1"/>
      <c r="L4052" s="1"/>
      <c r="M4052" s="1"/>
      <c r="O4052" s="2"/>
      <c r="P4052" s="2"/>
    </row>
    <row r="4053" spans="1:16" x14ac:dyDescent="0.25">
      <c r="A4053" s="2"/>
      <c r="B4053" s="2"/>
      <c r="F4053" s="1"/>
      <c r="G4053" s="1"/>
      <c r="I4053" s="1"/>
      <c r="J4053" s="1"/>
      <c r="L4053" s="1"/>
      <c r="M4053" s="1"/>
      <c r="O4053" s="2"/>
      <c r="P4053" s="2"/>
    </row>
    <row r="4054" spans="1:16" x14ac:dyDescent="0.25">
      <c r="A4054" s="2"/>
      <c r="B4054" s="2"/>
      <c r="F4054" s="1"/>
      <c r="G4054" s="1"/>
      <c r="I4054" s="1"/>
      <c r="J4054" s="1"/>
      <c r="L4054" s="1"/>
      <c r="M4054" s="1"/>
      <c r="O4054" s="2"/>
      <c r="P4054" s="2"/>
    </row>
    <row r="4055" spans="1:16" x14ac:dyDescent="0.25">
      <c r="A4055" s="2"/>
      <c r="B4055" s="2"/>
      <c r="F4055" s="1"/>
      <c r="G4055" s="1"/>
      <c r="I4055" s="1"/>
      <c r="J4055" s="1"/>
      <c r="L4055" s="1"/>
      <c r="M4055" s="1"/>
      <c r="O4055" s="2"/>
      <c r="P4055" s="2"/>
    </row>
    <row r="4056" spans="1:16" x14ac:dyDescent="0.25">
      <c r="A4056" s="2"/>
      <c r="B4056" s="2"/>
      <c r="F4056" s="1"/>
      <c r="G4056" s="1"/>
      <c r="I4056" s="1"/>
      <c r="J4056" s="1"/>
      <c r="L4056" s="1"/>
      <c r="M4056" s="1"/>
      <c r="O4056" s="2"/>
      <c r="P4056" s="2"/>
    </row>
    <row r="4057" spans="1:16" x14ac:dyDescent="0.25">
      <c r="A4057" s="2"/>
      <c r="B4057" s="2"/>
      <c r="F4057" s="1"/>
      <c r="G4057" s="1"/>
      <c r="I4057" s="1"/>
      <c r="J4057" s="1"/>
      <c r="L4057" s="1"/>
      <c r="M4057" s="1"/>
      <c r="O4057" s="2"/>
      <c r="P4057" s="2"/>
    </row>
    <row r="4058" spans="1:16" x14ac:dyDescent="0.25">
      <c r="A4058" s="2"/>
      <c r="B4058" s="2"/>
      <c r="F4058" s="1"/>
      <c r="G4058" s="1"/>
      <c r="I4058" s="1"/>
      <c r="J4058" s="1"/>
      <c r="L4058" s="1"/>
      <c r="M4058" s="1"/>
      <c r="O4058" s="2"/>
      <c r="P4058" s="2"/>
    </row>
    <row r="4059" spans="1:16" x14ac:dyDescent="0.25">
      <c r="A4059" s="2"/>
      <c r="B4059" s="2"/>
      <c r="F4059" s="1"/>
      <c r="G4059" s="1"/>
      <c r="I4059" s="1"/>
      <c r="J4059" s="1"/>
      <c r="L4059" s="1"/>
      <c r="M4059" s="1"/>
      <c r="O4059" s="2"/>
      <c r="P4059" s="2"/>
    </row>
    <row r="4060" spans="1:16" x14ac:dyDescent="0.25">
      <c r="A4060" s="2"/>
      <c r="B4060" s="2"/>
      <c r="F4060" s="1"/>
      <c r="G4060" s="1"/>
      <c r="I4060" s="1"/>
      <c r="J4060" s="1"/>
      <c r="L4060" s="1"/>
      <c r="M4060" s="1"/>
      <c r="O4060" s="2"/>
      <c r="P4060" s="2"/>
    </row>
    <row r="4061" spans="1:16" x14ac:dyDescent="0.25">
      <c r="A4061" s="2"/>
      <c r="B4061" s="2"/>
      <c r="F4061" s="1"/>
      <c r="G4061" s="1"/>
      <c r="I4061" s="1"/>
      <c r="J4061" s="1"/>
      <c r="L4061" s="1"/>
      <c r="M4061" s="1"/>
      <c r="O4061" s="2"/>
      <c r="P4061" s="2"/>
    </row>
    <row r="4062" spans="1:16" x14ac:dyDescent="0.25">
      <c r="A4062" s="2"/>
      <c r="B4062" s="2"/>
      <c r="F4062" s="1"/>
      <c r="G4062" s="1"/>
      <c r="I4062" s="1"/>
      <c r="J4062" s="1"/>
      <c r="L4062" s="1"/>
      <c r="M4062" s="1"/>
      <c r="O4062" s="2"/>
      <c r="P4062" s="2"/>
    </row>
    <row r="4063" spans="1:16" x14ac:dyDescent="0.25">
      <c r="A4063" s="2"/>
      <c r="B4063" s="2"/>
      <c r="F4063" s="1"/>
      <c r="G4063" s="1"/>
      <c r="I4063" s="1"/>
      <c r="J4063" s="1"/>
      <c r="L4063" s="1"/>
      <c r="M4063" s="1"/>
      <c r="O4063" s="2"/>
      <c r="P4063" s="2"/>
    </row>
    <row r="4064" spans="1:16" x14ac:dyDescent="0.25">
      <c r="A4064" s="2"/>
      <c r="B4064" s="2"/>
      <c r="F4064" s="1"/>
      <c r="G4064" s="1"/>
      <c r="I4064" s="1"/>
      <c r="J4064" s="1"/>
      <c r="L4064" s="1"/>
      <c r="M4064" s="1"/>
      <c r="O4064" s="2"/>
      <c r="P4064" s="2"/>
    </row>
    <row r="4065" spans="1:16" x14ac:dyDescent="0.25">
      <c r="A4065" s="2"/>
      <c r="B4065" s="2"/>
      <c r="F4065" s="1"/>
      <c r="G4065" s="1"/>
      <c r="I4065" s="1"/>
      <c r="J4065" s="1"/>
      <c r="L4065" s="1"/>
      <c r="M4065" s="1"/>
      <c r="O4065" s="2"/>
      <c r="P4065" s="2"/>
    </row>
    <row r="4066" spans="1:16" x14ac:dyDescent="0.25">
      <c r="A4066" s="2"/>
      <c r="B4066" s="2"/>
      <c r="F4066" s="1"/>
      <c r="G4066" s="1"/>
      <c r="I4066" s="1"/>
      <c r="J4066" s="1"/>
      <c r="L4066" s="1"/>
      <c r="M4066" s="1"/>
      <c r="O4066" s="2"/>
      <c r="P4066" s="2"/>
    </row>
    <row r="4067" spans="1:16" x14ac:dyDescent="0.25">
      <c r="A4067" s="2"/>
      <c r="B4067" s="2"/>
      <c r="F4067" s="1"/>
      <c r="G4067" s="1"/>
      <c r="I4067" s="1"/>
      <c r="J4067" s="1"/>
      <c r="L4067" s="1"/>
      <c r="M4067" s="1"/>
      <c r="O4067" s="2"/>
      <c r="P4067" s="2"/>
    </row>
    <row r="4068" spans="1:16" x14ac:dyDescent="0.25">
      <c r="A4068" s="2"/>
      <c r="B4068" s="2"/>
      <c r="F4068" s="1"/>
      <c r="G4068" s="1"/>
      <c r="I4068" s="1"/>
      <c r="J4068" s="1"/>
      <c r="L4068" s="1"/>
      <c r="M4068" s="1"/>
      <c r="O4068" s="2"/>
      <c r="P4068" s="2"/>
    </row>
    <row r="4069" spans="1:16" x14ac:dyDescent="0.25">
      <c r="A4069" s="2"/>
      <c r="B4069" s="2"/>
      <c r="F4069" s="1"/>
      <c r="G4069" s="1"/>
      <c r="I4069" s="1"/>
      <c r="J4069" s="1"/>
      <c r="L4069" s="1"/>
      <c r="M4069" s="1"/>
      <c r="O4069" s="2"/>
      <c r="P4069" s="2"/>
    </row>
    <row r="4070" spans="1:16" x14ac:dyDescent="0.25">
      <c r="A4070" s="2"/>
      <c r="B4070" s="2"/>
      <c r="F4070" s="1"/>
      <c r="G4070" s="1"/>
      <c r="I4070" s="1"/>
      <c r="J4070" s="1"/>
      <c r="L4070" s="1"/>
      <c r="M4070" s="1"/>
      <c r="O4070" s="2"/>
      <c r="P4070" s="2"/>
    </row>
    <row r="4071" spans="1:16" x14ac:dyDescent="0.25">
      <c r="A4071" s="2"/>
      <c r="B4071" s="2"/>
      <c r="F4071" s="1"/>
      <c r="G4071" s="1"/>
      <c r="I4071" s="1"/>
      <c r="J4071" s="1"/>
      <c r="L4071" s="1"/>
      <c r="M4071" s="1"/>
      <c r="O4071" s="2"/>
      <c r="P4071" s="2"/>
    </row>
    <row r="4072" spans="1:16" x14ac:dyDescent="0.25">
      <c r="A4072" s="2"/>
      <c r="B4072" s="2"/>
      <c r="F4072" s="1"/>
      <c r="G4072" s="1"/>
      <c r="I4072" s="1"/>
      <c r="J4072" s="1"/>
      <c r="L4072" s="1"/>
      <c r="M4072" s="1"/>
      <c r="O4072" s="2"/>
      <c r="P4072" s="2"/>
    </row>
    <row r="4073" spans="1:16" x14ac:dyDescent="0.25">
      <c r="A4073" s="2"/>
      <c r="B4073" s="2"/>
      <c r="F4073" s="1"/>
      <c r="G4073" s="1"/>
      <c r="I4073" s="1"/>
      <c r="J4073" s="1"/>
      <c r="L4073" s="1"/>
      <c r="M4073" s="1"/>
      <c r="O4073" s="2"/>
      <c r="P4073" s="2"/>
    </row>
    <row r="4074" spans="1:16" x14ac:dyDescent="0.25">
      <c r="A4074" s="2"/>
      <c r="B4074" s="2"/>
      <c r="F4074" s="1"/>
      <c r="G4074" s="1"/>
      <c r="I4074" s="1"/>
      <c r="J4074" s="1"/>
      <c r="L4074" s="1"/>
      <c r="M4074" s="1"/>
      <c r="O4074" s="2"/>
      <c r="P4074" s="2"/>
    </row>
    <row r="4075" spans="1:16" x14ac:dyDescent="0.25">
      <c r="A4075" s="2"/>
      <c r="B4075" s="2"/>
      <c r="F4075" s="1"/>
      <c r="G4075" s="1"/>
      <c r="I4075" s="1"/>
      <c r="J4075" s="1"/>
      <c r="L4075" s="1"/>
      <c r="M4075" s="1"/>
      <c r="O4075" s="2"/>
      <c r="P4075" s="2"/>
    </row>
    <row r="4076" spans="1:16" x14ac:dyDescent="0.25">
      <c r="A4076" s="2"/>
      <c r="B4076" s="2"/>
      <c r="F4076" s="1"/>
      <c r="G4076" s="1"/>
      <c r="I4076" s="1"/>
      <c r="J4076" s="1"/>
      <c r="L4076" s="1"/>
      <c r="M4076" s="1"/>
      <c r="O4076" s="2"/>
      <c r="P4076" s="2"/>
    </row>
    <row r="4077" spans="1:16" x14ac:dyDescent="0.25">
      <c r="A4077" s="2"/>
      <c r="B4077" s="2"/>
      <c r="F4077" s="1"/>
      <c r="G4077" s="1"/>
      <c r="I4077" s="1"/>
      <c r="J4077" s="1"/>
      <c r="L4077" s="1"/>
      <c r="M4077" s="1"/>
      <c r="O4077" s="2"/>
      <c r="P4077" s="2"/>
    </row>
    <row r="4078" spans="1:16" x14ac:dyDescent="0.25">
      <c r="A4078" s="2"/>
      <c r="B4078" s="2"/>
      <c r="F4078" s="1"/>
      <c r="G4078" s="1"/>
      <c r="I4078" s="1"/>
      <c r="J4078" s="1"/>
      <c r="L4078" s="1"/>
      <c r="M4078" s="1"/>
      <c r="O4078" s="2"/>
      <c r="P4078" s="2"/>
    </row>
    <row r="4079" spans="1:16" x14ac:dyDescent="0.25">
      <c r="A4079" s="2"/>
      <c r="B4079" s="2"/>
      <c r="F4079" s="1"/>
      <c r="G4079" s="1"/>
      <c r="I4079" s="1"/>
      <c r="J4079" s="1"/>
      <c r="L4079" s="1"/>
      <c r="M4079" s="1"/>
      <c r="O4079" s="2"/>
      <c r="P4079" s="2"/>
    </row>
    <row r="4080" spans="1:16" x14ac:dyDescent="0.25">
      <c r="A4080" s="2"/>
      <c r="B4080" s="2"/>
      <c r="F4080" s="1"/>
      <c r="G4080" s="1"/>
      <c r="I4080" s="1"/>
      <c r="J4080" s="1"/>
      <c r="L4080" s="1"/>
      <c r="M4080" s="1"/>
      <c r="O4080" s="2"/>
      <c r="P4080" s="2"/>
    </row>
    <row r="4081" spans="1:16" x14ac:dyDescent="0.25">
      <c r="A4081" s="2"/>
      <c r="B4081" s="2"/>
      <c r="F4081" s="1"/>
      <c r="G4081" s="1"/>
      <c r="I4081" s="1"/>
      <c r="J4081" s="1"/>
      <c r="L4081" s="1"/>
      <c r="M4081" s="1"/>
      <c r="O4081" s="2"/>
      <c r="P4081" s="2"/>
    </row>
    <row r="4082" spans="1:16" x14ac:dyDescent="0.25">
      <c r="A4082" s="2"/>
      <c r="B4082" s="2"/>
      <c r="F4082" s="1"/>
      <c r="G4082" s="1"/>
      <c r="I4082" s="1"/>
      <c r="J4082" s="1"/>
      <c r="L4082" s="1"/>
      <c r="M4082" s="1"/>
      <c r="O4082" s="2"/>
      <c r="P4082" s="2"/>
    </row>
    <row r="4083" spans="1:16" x14ac:dyDescent="0.25">
      <c r="A4083" s="2"/>
      <c r="B4083" s="2"/>
      <c r="F4083" s="1"/>
      <c r="G4083" s="1"/>
      <c r="I4083" s="1"/>
      <c r="J4083" s="1"/>
      <c r="L4083" s="1"/>
      <c r="M4083" s="1"/>
      <c r="O4083" s="2"/>
      <c r="P4083" s="2"/>
    </row>
    <row r="4084" spans="1:16" x14ac:dyDescent="0.25">
      <c r="A4084" s="2"/>
      <c r="B4084" s="2"/>
      <c r="F4084" s="1"/>
      <c r="G4084" s="1"/>
      <c r="I4084" s="1"/>
      <c r="J4084" s="1"/>
      <c r="L4084" s="1"/>
      <c r="M4084" s="1"/>
      <c r="O4084" s="2"/>
      <c r="P4084" s="2"/>
    </row>
    <row r="4085" spans="1:16" x14ac:dyDescent="0.25">
      <c r="A4085" s="2"/>
      <c r="B4085" s="2"/>
      <c r="F4085" s="1"/>
      <c r="G4085" s="1"/>
      <c r="I4085" s="1"/>
      <c r="J4085" s="1"/>
      <c r="L4085" s="1"/>
      <c r="M4085" s="1"/>
      <c r="O4085" s="2"/>
      <c r="P4085" s="2"/>
    </row>
    <row r="4086" spans="1:16" x14ac:dyDescent="0.25">
      <c r="A4086" s="2"/>
      <c r="B4086" s="2"/>
      <c r="F4086" s="1"/>
      <c r="G4086" s="1"/>
      <c r="I4086" s="1"/>
      <c r="J4086" s="1"/>
      <c r="L4086" s="1"/>
      <c r="M4086" s="1"/>
      <c r="O4086" s="2"/>
      <c r="P4086" s="2"/>
    </row>
    <row r="4087" spans="1:16" x14ac:dyDescent="0.25">
      <c r="A4087" s="2"/>
      <c r="B4087" s="2"/>
      <c r="F4087" s="1"/>
      <c r="G4087" s="1"/>
      <c r="I4087" s="1"/>
      <c r="J4087" s="1"/>
      <c r="L4087" s="1"/>
      <c r="M4087" s="1"/>
      <c r="O4087" s="2"/>
      <c r="P4087" s="2"/>
    </row>
    <row r="4088" spans="1:16" x14ac:dyDescent="0.25">
      <c r="A4088" s="2"/>
      <c r="B4088" s="2"/>
      <c r="F4088" s="1"/>
      <c r="G4088" s="1"/>
      <c r="I4088" s="1"/>
      <c r="J4088" s="1"/>
      <c r="L4088" s="1"/>
      <c r="M4088" s="1"/>
      <c r="O4088" s="2"/>
      <c r="P4088" s="2"/>
    </row>
    <row r="4089" spans="1:16" x14ac:dyDescent="0.25">
      <c r="A4089" s="2"/>
      <c r="B4089" s="2"/>
      <c r="F4089" s="1"/>
      <c r="G4089" s="1"/>
      <c r="I4089" s="1"/>
      <c r="J4089" s="1"/>
      <c r="L4089" s="1"/>
      <c r="M4089" s="1"/>
      <c r="O4089" s="2"/>
      <c r="P4089" s="2"/>
    </row>
    <row r="4090" spans="1:16" x14ac:dyDescent="0.25">
      <c r="A4090" s="2"/>
      <c r="B4090" s="2"/>
      <c r="F4090" s="1"/>
      <c r="G4090" s="1"/>
      <c r="I4090" s="1"/>
      <c r="J4090" s="1"/>
      <c r="L4090" s="1"/>
      <c r="M4090" s="1"/>
      <c r="O4090" s="2"/>
      <c r="P4090" s="2"/>
    </row>
    <row r="4091" spans="1:16" x14ac:dyDescent="0.25">
      <c r="A4091" s="2"/>
      <c r="B4091" s="2"/>
      <c r="F4091" s="1"/>
      <c r="G4091" s="1"/>
      <c r="I4091" s="1"/>
      <c r="J4091" s="1"/>
      <c r="L4091" s="1"/>
      <c r="M4091" s="1"/>
      <c r="O4091" s="2"/>
      <c r="P4091" s="2"/>
    </row>
    <row r="4092" spans="1:16" x14ac:dyDescent="0.25">
      <c r="A4092" s="2"/>
      <c r="B4092" s="2"/>
      <c r="F4092" s="1"/>
      <c r="G4092" s="1"/>
      <c r="I4092" s="1"/>
      <c r="J4092" s="1"/>
      <c r="L4092" s="1"/>
      <c r="M4092" s="1"/>
      <c r="O4092" s="2"/>
      <c r="P4092" s="2"/>
    </row>
    <row r="4093" spans="1:16" x14ac:dyDescent="0.25">
      <c r="A4093" s="2"/>
      <c r="B4093" s="2"/>
      <c r="F4093" s="1"/>
      <c r="G4093" s="1"/>
      <c r="I4093" s="1"/>
      <c r="J4093" s="1"/>
      <c r="L4093" s="1"/>
      <c r="M4093" s="1"/>
      <c r="O4093" s="2"/>
      <c r="P4093" s="2"/>
    </row>
    <row r="4094" spans="1:16" x14ac:dyDescent="0.25">
      <c r="A4094" s="2"/>
      <c r="B4094" s="2"/>
      <c r="F4094" s="1"/>
      <c r="G4094" s="1"/>
      <c r="I4094" s="1"/>
      <c r="J4094" s="1"/>
      <c r="L4094" s="1"/>
      <c r="M4094" s="1"/>
      <c r="O4094" s="2"/>
      <c r="P4094" s="2"/>
    </row>
    <row r="4095" spans="1:16" x14ac:dyDescent="0.25">
      <c r="A4095" s="2"/>
      <c r="B4095" s="2"/>
      <c r="F4095" s="1"/>
      <c r="G4095" s="1"/>
      <c r="I4095" s="1"/>
      <c r="J4095" s="1"/>
      <c r="L4095" s="1"/>
      <c r="M4095" s="1"/>
      <c r="O4095" s="2"/>
      <c r="P4095" s="2"/>
    </row>
    <row r="4096" spans="1:16" x14ac:dyDescent="0.25">
      <c r="A4096" s="2"/>
      <c r="B4096" s="2"/>
      <c r="F4096" s="1"/>
      <c r="G4096" s="1"/>
      <c r="I4096" s="1"/>
      <c r="J4096" s="1"/>
      <c r="L4096" s="1"/>
      <c r="M4096" s="1"/>
      <c r="O4096" s="2"/>
      <c r="P4096" s="2"/>
    </row>
    <row r="4097" spans="1:16" x14ac:dyDescent="0.25">
      <c r="A4097" s="2"/>
      <c r="B4097" s="2"/>
      <c r="F4097" s="1"/>
      <c r="G4097" s="1"/>
      <c r="I4097" s="1"/>
      <c r="J4097" s="1"/>
      <c r="L4097" s="1"/>
      <c r="M4097" s="1"/>
      <c r="O4097" s="2"/>
      <c r="P4097" s="2"/>
    </row>
    <row r="4098" spans="1:16" x14ac:dyDescent="0.25">
      <c r="A4098" s="2"/>
      <c r="B4098" s="2"/>
      <c r="F4098" s="1"/>
      <c r="G4098" s="1"/>
      <c r="I4098" s="1"/>
      <c r="J4098" s="1"/>
      <c r="L4098" s="1"/>
      <c r="M4098" s="1"/>
      <c r="O4098" s="2"/>
      <c r="P4098" s="2"/>
    </row>
    <row r="4099" spans="1:16" x14ac:dyDescent="0.25">
      <c r="A4099" s="2"/>
      <c r="B4099" s="2"/>
      <c r="F4099" s="1"/>
      <c r="G4099" s="1"/>
      <c r="I4099" s="1"/>
      <c r="J4099" s="1"/>
      <c r="L4099" s="1"/>
      <c r="M4099" s="1"/>
      <c r="O4099" s="2"/>
      <c r="P4099" s="2"/>
    </row>
    <row r="4100" spans="1:16" x14ac:dyDescent="0.25">
      <c r="A4100" s="2"/>
      <c r="B4100" s="2"/>
      <c r="F4100" s="1"/>
      <c r="G4100" s="1"/>
      <c r="I4100" s="1"/>
      <c r="J4100" s="1"/>
      <c r="L4100" s="1"/>
      <c r="M4100" s="1"/>
      <c r="O4100" s="2"/>
      <c r="P4100" s="2"/>
    </row>
    <row r="4101" spans="1:16" x14ac:dyDescent="0.25">
      <c r="A4101" s="2"/>
      <c r="B4101" s="2"/>
      <c r="F4101" s="1"/>
      <c r="G4101" s="1"/>
      <c r="I4101" s="1"/>
      <c r="J4101" s="1"/>
      <c r="L4101" s="1"/>
      <c r="M4101" s="1"/>
      <c r="O4101" s="2"/>
      <c r="P4101" s="2"/>
    </row>
    <row r="4102" spans="1:16" x14ac:dyDescent="0.25">
      <c r="A4102" s="2"/>
      <c r="B4102" s="2"/>
      <c r="F4102" s="1"/>
      <c r="G4102" s="1"/>
      <c r="I4102" s="1"/>
      <c r="J4102" s="1"/>
      <c r="L4102" s="1"/>
      <c r="M4102" s="1"/>
      <c r="O4102" s="2"/>
      <c r="P4102" s="2"/>
    </row>
    <row r="4103" spans="1:16" x14ac:dyDescent="0.25">
      <c r="A4103" s="2"/>
      <c r="B4103" s="2"/>
      <c r="F4103" s="1"/>
      <c r="G4103" s="1"/>
      <c r="I4103" s="1"/>
      <c r="J4103" s="1"/>
      <c r="L4103" s="1"/>
      <c r="M4103" s="1"/>
      <c r="O4103" s="2"/>
      <c r="P4103" s="2"/>
    </row>
    <row r="4104" spans="1:16" x14ac:dyDescent="0.25">
      <c r="A4104" s="2"/>
      <c r="B4104" s="2"/>
      <c r="F4104" s="1"/>
      <c r="G4104" s="1"/>
      <c r="I4104" s="1"/>
      <c r="J4104" s="1"/>
      <c r="L4104" s="1"/>
      <c r="M4104" s="1"/>
      <c r="O4104" s="2"/>
      <c r="P4104" s="2"/>
    </row>
    <row r="4105" spans="1:16" x14ac:dyDescent="0.25">
      <c r="A4105" s="2"/>
      <c r="B4105" s="2"/>
      <c r="F4105" s="1"/>
      <c r="G4105" s="1"/>
      <c r="I4105" s="1"/>
      <c r="J4105" s="1"/>
      <c r="L4105" s="1"/>
      <c r="M4105" s="1"/>
      <c r="O4105" s="2"/>
      <c r="P4105" s="2"/>
    </row>
    <row r="4106" spans="1:16" x14ac:dyDescent="0.25">
      <c r="A4106" s="2"/>
      <c r="B4106" s="2"/>
      <c r="F4106" s="1"/>
      <c r="G4106" s="1"/>
      <c r="I4106" s="1"/>
      <c r="J4106" s="1"/>
      <c r="L4106" s="1"/>
      <c r="M4106" s="1"/>
      <c r="O4106" s="2"/>
      <c r="P4106" s="2"/>
    </row>
    <row r="4107" spans="1:16" x14ac:dyDescent="0.25">
      <c r="A4107" s="2"/>
      <c r="B4107" s="2"/>
      <c r="F4107" s="1"/>
      <c r="G4107" s="1"/>
      <c r="I4107" s="1"/>
      <c r="J4107" s="1"/>
      <c r="L4107" s="1"/>
      <c r="M4107" s="1"/>
      <c r="O4107" s="2"/>
      <c r="P4107" s="2"/>
    </row>
    <row r="4108" spans="1:16" x14ac:dyDescent="0.25">
      <c r="A4108" s="2"/>
      <c r="B4108" s="2"/>
      <c r="F4108" s="1"/>
      <c r="G4108" s="1"/>
      <c r="I4108" s="1"/>
      <c r="J4108" s="1"/>
      <c r="L4108" s="1"/>
      <c r="M4108" s="1"/>
      <c r="O4108" s="2"/>
      <c r="P4108" s="2"/>
    </row>
    <row r="4109" spans="1:16" x14ac:dyDescent="0.25">
      <c r="A4109" s="2"/>
      <c r="B4109" s="2"/>
      <c r="F4109" s="1"/>
      <c r="G4109" s="1"/>
      <c r="I4109" s="1"/>
      <c r="J4109" s="1"/>
      <c r="L4109" s="1"/>
      <c r="M4109" s="1"/>
      <c r="O4109" s="2"/>
      <c r="P4109" s="2"/>
    </row>
    <row r="4110" spans="1:16" x14ac:dyDescent="0.25">
      <c r="A4110" s="2"/>
      <c r="B4110" s="2"/>
      <c r="F4110" s="1"/>
      <c r="G4110" s="1"/>
      <c r="I4110" s="1"/>
      <c r="J4110" s="1"/>
      <c r="L4110" s="1"/>
      <c r="M4110" s="1"/>
      <c r="O4110" s="2"/>
      <c r="P4110" s="2"/>
    </row>
    <row r="4111" spans="1:16" x14ac:dyDescent="0.25">
      <c r="A4111" s="2"/>
      <c r="B4111" s="2"/>
      <c r="F4111" s="1"/>
      <c r="G4111" s="1"/>
      <c r="I4111" s="1"/>
      <c r="J4111" s="1"/>
      <c r="L4111" s="1"/>
      <c r="M4111" s="1"/>
      <c r="O4111" s="2"/>
      <c r="P4111" s="2"/>
    </row>
    <row r="4112" spans="1:16" x14ac:dyDescent="0.25">
      <c r="A4112" s="2"/>
      <c r="B4112" s="2"/>
      <c r="F4112" s="1"/>
      <c r="G4112" s="1"/>
      <c r="I4112" s="1"/>
      <c r="J4112" s="1"/>
      <c r="L4112" s="1"/>
      <c r="M4112" s="1"/>
      <c r="O4112" s="2"/>
      <c r="P4112" s="2"/>
    </row>
    <row r="4113" spans="1:16" x14ac:dyDescent="0.25">
      <c r="A4113" s="2"/>
      <c r="B4113" s="2"/>
      <c r="F4113" s="1"/>
      <c r="G4113" s="1"/>
      <c r="I4113" s="1"/>
      <c r="J4113" s="1"/>
      <c r="L4113" s="1"/>
      <c r="M4113" s="1"/>
      <c r="O4113" s="2"/>
      <c r="P4113" s="2"/>
    </row>
    <row r="4114" spans="1:16" x14ac:dyDescent="0.25">
      <c r="A4114" s="2"/>
      <c r="B4114" s="2"/>
      <c r="F4114" s="1"/>
      <c r="G4114" s="1"/>
      <c r="I4114" s="1"/>
      <c r="J4114" s="1"/>
      <c r="L4114" s="1"/>
      <c r="M4114" s="1"/>
      <c r="O4114" s="2"/>
      <c r="P4114" s="2"/>
    </row>
    <row r="4115" spans="1:16" x14ac:dyDescent="0.25">
      <c r="A4115" s="2"/>
      <c r="B4115" s="2"/>
      <c r="F4115" s="1"/>
      <c r="G4115" s="1"/>
      <c r="I4115" s="1"/>
      <c r="J4115" s="1"/>
      <c r="L4115" s="1"/>
      <c r="M4115" s="1"/>
      <c r="O4115" s="2"/>
      <c r="P4115" s="2"/>
    </row>
    <row r="4116" spans="1:16" x14ac:dyDescent="0.25">
      <c r="A4116" s="2"/>
      <c r="B4116" s="2"/>
      <c r="F4116" s="1"/>
      <c r="G4116" s="1"/>
      <c r="I4116" s="1"/>
      <c r="J4116" s="1"/>
      <c r="L4116" s="1"/>
      <c r="M4116" s="1"/>
      <c r="O4116" s="2"/>
      <c r="P4116" s="2"/>
    </row>
    <row r="4117" spans="1:16" x14ac:dyDescent="0.25">
      <c r="A4117" s="2"/>
      <c r="B4117" s="2"/>
      <c r="F4117" s="1"/>
      <c r="G4117" s="1"/>
      <c r="I4117" s="1"/>
      <c r="J4117" s="1"/>
      <c r="L4117" s="1"/>
      <c r="M4117" s="1"/>
      <c r="O4117" s="2"/>
      <c r="P4117" s="2"/>
    </row>
    <row r="4118" spans="1:16" x14ac:dyDescent="0.25">
      <c r="A4118" s="2"/>
      <c r="B4118" s="2"/>
      <c r="F4118" s="1"/>
      <c r="G4118" s="1"/>
      <c r="I4118" s="1"/>
      <c r="J4118" s="1"/>
      <c r="L4118" s="1"/>
      <c r="M4118" s="1"/>
      <c r="O4118" s="2"/>
      <c r="P4118" s="2"/>
    </row>
    <row r="4119" spans="1:16" x14ac:dyDescent="0.25">
      <c r="A4119" s="2"/>
      <c r="B4119" s="2"/>
      <c r="F4119" s="1"/>
      <c r="G4119" s="1"/>
      <c r="I4119" s="1"/>
      <c r="J4119" s="1"/>
      <c r="L4119" s="1"/>
      <c r="M4119" s="1"/>
      <c r="O4119" s="2"/>
      <c r="P4119" s="2"/>
    </row>
    <row r="4120" spans="1:16" x14ac:dyDescent="0.25">
      <c r="A4120" s="2"/>
      <c r="B4120" s="2"/>
      <c r="F4120" s="1"/>
      <c r="G4120" s="1"/>
      <c r="I4120" s="1"/>
      <c r="J4120" s="1"/>
      <c r="L4120" s="1"/>
      <c r="M4120" s="1"/>
      <c r="O4120" s="2"/>
      <c r="P4120" s="2"/>
    </row>
    <row r="4121" spans="1:16" x14ac:dyDescent="0.25">
      <c r="A4121" s="2"/>
      <c r="B4121" s="2"/>
      <c r="F4121" s="1"/>
      <c r="G4121" s="1"/>
      <c r="I4121" s="1"/>
      <c r="J4121" s="1"/>
      <c r="L4121" s="1"/>
      <c r="M4121" s="1"/>
      <c r="O4121" s="2"/>
      <c r="P4121" s="2"/>
    </row>
    <row r="4122" spans="1:16" x14ac:dyDescent="0.25">
      <c r="A4122" s="2"/>
      <c r="B4122" s="2"/>
      <c r="F4122" s="1"/>
      <c r="G4122" s="1"/>
      <c r="I4122" s="1"/>
      <c r="J4122" s="1"/>
      <c r="L4122" s="1"/>
      <c r="M4122" s="1"/>
      <c r="O4122" s="2"/>
      <c r="P4122" s="2"/>
    </row>
    <row r="4123" spans="1:16" x14ac:dyDescent="0.25">
      <c r="A4123" s="2"/>
      <c r="B4123" s="2"/>
      <c r="F4123" s="1"/>
      <c r="G4123" s="1"/>
      <c r="I4123" s="1"/>
      <c r="J4123" s="1"/>
      <c r="L4123" s="1"/>
      <c r="M4123" s="1"/>
      <c r="O4123" s="2"/>
      <c r="P4123" s="2"/>
    </row>
    <row r="4124" spans="1:16" x14ac:dyDescent="0.25">
      <c r="A4124" s="2"/>
      <c r="B4124" s="2"/>
      <c r="F4124" s="1"/>
      <c r="G4124" s="1"/>
      <c r="I4124" s="1"/>
      <c r="J4124" s="1"/>
      <c r="L4124" s="1"/>
      <c r="M4124" s="1"/>
      <c r="O4124" s="2"/>
      <c r="P4124" s="2"/>
    </row>
    <row r="4125" spans="1:16" x14ac:dyDescent="0.25">
      <c r="A4125" s="2"/>
      <c r="B4125" s="2"/>
      <c r="F4125" s="1"/>
      <c r="G4125" s="1"/>
      <c r="I4125" s="1"/>
      <c r="J4125" s="1"/>
      <c r="L4125" s="1"/>
      <c r="M4125" s="1"/>
      <c r="O4125" s="2"/>
      <c r="P4125" s="2"/>
    </row>
    <row r="4126" spans="1:16" x14ac:dyDescent="0.25">
      <c r="A4126" s="2"/>
      <c r="B4126" s="2"/>
      <c r="F4126" s="1"/>
      <c r="G4126" s="1"/>
      <c r="I4126" s="1"/>
      <c r="J4126" s="1"/>
      <c r="L4126" s="1"/>
      <c r="M4126" s="1"/>
      <c r="O4126" s="2"/>
      <c r="P4126" s="2"/>
    </row>
    <row r="4127" spans="1:16" x14ac:dyDescent="0.25">
      <c r="A4127" s="2"/>
      <c r="B4127" s="2"/>
      <c r="F4127" s="1"/>
      <c r="G4127" s="1"/>
      <c r="I4127" s="1"/>
      <c r="J4127" s="1"/>
      <c r="L4127" s="1"/>
      <c r="M4127" s="1"/>
      <c r="O4127" s="2"/>
      <c r="P4127" s="2"/>
    </row>
    <row r="4128" spans="1:16" x14ac:dyDescent="0.25">
      <c r="A4128" s="2"/>
      <c r="B4128" s="2"/>
      <c r="F4128" s="1"/>
      <c r="G4128" s="1"/>
      <c r="I4128" s="1"/>
      <c r="J4128" s="1"/>
      <c r="L4128" s="1"/>
      <c r="M4128" s="1"/>
      <c r="O4128" s="2"/>
      <c r="P4128" s="2"/>
    </row>
    <row r="4129" spans="1:16" x14ac:dyDescent="0.25">
      <c r="A4129" s="2"/>
      <c r="B4129" s="2"/>
      <c r="F4129" s="1"/>
      <c r="G4129" s="1"/>
      <c r="I4129" s="1"/>
      <c r="J4129" s="1"/>
      <c r="L4129" s="1"/>
      <c r="M4129" s="1"/>
      <c r="O4129" s="2"/>
      <c r="P4129" s="2"/>
    </row>
    <row r="4130" spans="1:16" x14ac:dyDescent="0.25">
      <c r="A4130" s="2"/>
      <c r="B4130" s="2"/>
      <c r="F4130" s="1"/>
      <c r="G4130" s="1"/>
      <c r="I4130" s="1"/>
      <c r="J4130" s="1"/>
      <c r="L4130" s="1"/>
      <c r="M4130" s="1"/>
      <c r="O4130" s="2"/>
      <c r="P4130" s="2"/>
    </row>
    <row r="4131" spans="1:16" x14ac:dyDescent="0.25">
      <c r="A4131" s="2"/>
      <c r="B4131" s="2"/>
      <c r="F4131" s="1"/>
      <c r="G4131" s="1"/>
      <c r="I4131" s="1"/>
      <c r="J4131" s="1"/>
      <c r="L4131" s="1"/>
      <c r="M4131" s="1"/>
      <c r="O4131" s="2"/>
      <c r="P4131" s="2"/>
    </row>
    <row r="4132" spans="1:16" x14ac:dyDescent="0.25">
      <c r="A4132" s="2"/>
      <c r="B4132" s="2"/>
      <c r="F4132" s="1"/>
      <c r="G4132" s="1"/>
      <c r="I4132" s="1"/>
      <c r="J4132" s="1"/>
      <c r="L4132" s="1"/>
      <c r="M4132" s="1"/>
      <c r="O4132" s="2"/>
      <c r="P4132" s="2"/>
    </row>
    <row r="4133" spans="1:16" x14ac:dyDescent="0.25">
      <c r="A4133" s="2"/>
      <c r="B4133" s="2"/>
      <c r="F4133" s="1"/>
      <c r="G4133" s="1"/>
      <c r="I4133" s="1"/>
      <c r="J4133" s="1"/>
      <c r="L4133" s="1"/>
      <c r="M4133" s="1"/>
      <c r="O4133" s="2"/>
      <c r="P4133" s="2"/>
    </row>
    <row r="4134" spans="1:16" x14ac:dyDescent="0.25">
      <c r="A4134" s="2"/>
      <c r="B4134" s="2"/>
      <c r="F4134" s="1"/>
      <c r="G4134" s="1"/>
      <c r="I4134" s="1"/>
      <c r="J4134" s="1"/>
      <c r="L4134" s="1"/>
      <c r="M4134" s="1"/>
      <c r="O4134" s="2"/>
      <c r="P4134" s="2"/>
    </row>
    <row r="4135" spans="1:16" x14ac:dyDescent="0.25">
      <c r="A4135" s="2"/>
      <c r="B4135" s="2"/>
      <c r="F4135" s="1"/>
      <c r="G4135" s="1"/>
      <c r="I4135" s="1"/>
      <c r="J4135" s="1"/>
      <c r="L4135" s="1"/>
      <c r="M4135" s="1"/>
      <c r="O4135" s="2"/>
      <c r="P4135" s="2"/>
    </row>
    <row r="4136" spans="1:16" x14ac:dyDescent="0.25">
      <c r="A4136" s="2"/>
      <c r="B4136" s="2"/>
      <c r="F4136" s="1"/>
      <c r="G4136" s="1"/>
      <c r="I4136" s="1"/>
      <c r="J4136" s="1"/>
      <c r="L4136" s="1"/>
      <c r="M4136" s="1"/>
      <c r="O4136" s="2"/>
      <c r="P4136" s="2"/>
    </row>
    <row r="4137" spans="1:16" x14ac:dyDescent="0.25">
      <c r="A4137" s="2"/>
      <c r="B4137" s="2"/>
      <c r="F4137" s="1"/>
      <c r="G4137" s="1"/>
      <c r="I4137" s="1"/>
      <c r="J4137" s="1"/>
      <c r="L4137" s="1"/>
      <c r="M4137" s="1"/>
      <c r="O4137" s="2"/>
      <c r="P4137" s="2"/>
    </row>
    <row r="4138" spans="1:16" x14ac:dyDescent="0.25">
      <c r="A4138" s="2"/>
      <c r="B4138" s="2"/>
      <c r="F4138" s="1"/>
      <c r="G4138" s="1"/>
      <c r="I4138" s="1"/>
      <c r="J4138" s="1"/>
      <c r="L4138" s="1"/>
      <c r="M4138" s="1"/>
      <c r="O4138" s="2"/>
      <c r="P4138" s="2"/>
    </row>
    <row r="4139" spans="1:16" x14ac:dyDescent="0.25">
      <c r="A4139" s="2"/>
      <c r="B4139" s="2"/>
      <c r="F4139" s="1"/>
      <c r="G4139" s="1"/>
      <c r="I4139" s="1"/>
      <c r="J4139" s="1"/>
      <c r="L4139" s="1"/>
      <c r="M4139" s="1"/>
      <c r="O4139" s="2"/>
      <c r="P4139" s="2"/>
    </row>
    <row r="4140" spans="1:16" x14ac:dyDescent="0.25">
      <c r="A4140" s="2"/>
      <c r="B4140" s="2"/>
      <c r="F4140" s="1"/>
      <c r="G4140" s="1"/>
      <c r="I4140" s="1"/>
      <c r="J4140" s="1"/>
      <c r="L4140" s="1"/>
      <c r="M4140" s="1"/>
      <c r="O4140" s="2"/>
      <c r="P4140" s="2"/>
    </row>
    <row r="4141" spans="1:16" x14ac:dyDescent="0.25">
      <c r="A4141" s="2"/>
      <c r="B4141" s="2"/>
      <c r="F4141" s="1"/>
      <c r="G4141" s="1"/>
      <c r="I4141" s="1"/>
      <c r="J4141" s="1"/>
      <c r="L4141" s="1"/>
      <c r="M4141" s="1"/>
      <c r="O4141" s="2"/>
      <c r="P4141" s="2"/>
    </row>
    <row r="4142" spans="1:16" x14ac:dyDescent="0.25">
      <c r="A4142" s="2"/>
      <c r="B4142" s="2"/>
      <c r="F4142" s="1"/>
      <c r="G4142" s="1"/>
      <c r="I4142" s="1"/>
      <c r="J4142" s="1"/>
      <c r="L4142" s="1"/>
      <c r="M4142" s="1"/>
      <c r="O4142" s="2"/>
      <c r="P4142" s="2"/>
    </row>
    <row r="4143" spans="1:16" x14ac:dyDescent="0.25">
      <c r="A4143" s="2"/>
      <c r="B4143" s="2"/>
      <c r="F4143" s="1"/>
      <c r="G4143" s="1"/>
      <c r="I4143" s="1"/>
      <c r="J4143" s="1"/>
      <c r="L4143" s="1"/>
      <c r="M4143" s="1"/>
      <c r="O4143" s="2"/>
      <c r="P4143" s="2"/>
    </row>
    <row r="4144" spans="1:16" x14ac:dyDescent="0.25">
      <c r="A4144" s="2"/>
      <c r="B4144" s="2"/>
      <c r="F4144" s="1"/>
      <c r="G4144" s="1"/>
      <c r="I4144" s="1"/>
      <c r="J4144" s="1"/>
      <c r="L4144" s="1"/>
      <c r="M4144" s="1"/>
      <c r="O4144" s="2"/>
      <c r="P4144" s="2"/>
    </row>
    <row r="4145" spans="1:16" x14ac:dyDescent="0.25">
      <c r="A4145" s="2"/>
      <c r="B4145" s="2"/>
      <c r="F4145" s="1"/>
      <c r="G4145" s="1"/>
      <c r="I4145" s="1"/>
      <c r="J4145" s="1"/>
      <c r="L4145" s="1"/>
      <c r="M4145" s="1"/>
      <c r="O4145" s="2"/>
      <c r="P4145" s="2"/>
    </row>
    <row r="4146" spans="1:16" x14ac:dyDescent="0.25">
      <c r="A4146" s="2"/>
      <c r="B4146" s="2"/>
      <c r="F4146" s="1"/>
      <c r="G4146" s="1"/>
      <c r="I4146" s="1"/>
      <c r="J4146" s="1"/>
      <c r="L4146" s="1"/>
      <c r="M4146" s="1"/>
      <c r="O4146" s="2"/>
      <c r="P4146" s="2"/>
    </row>
    <row r="4147" spans="1:16" x14ac:dyDescent="0.25">
      <c r="A4147" s="2"/>
      <c r="B4147" s="2"/>
      <c r="F4147" s="1"/>
      <c r="G4147" s="1"/>
      <c r="I4147" s="1"/>
      <c r="J4147" s="1"/>
      <c r="L4147" s="1"/>
      <c r="M4147" s="1"/>
      <c r="O4147" s="2"/>
      <c r="P4147" s="2"/>
    </row>
    <row r="4148" spans="1:16" x14ac:dyDescent="0.25">
      <c r="A4148" s="2"/>
      <c r="B4148" s="2"/>
      <c r="F4148" s="1"/>
      <c r="G4148" s="1"/>
      <c r="I4148" s="1"/>
      <c r="J4148" s="1"/>
      <c r="L4148" s="1"/>
      <c r="M4148" s="1"/>
      <c r="O4148" s="2"/>
      <c r="P4148" s="2"/>
    </row>
    <row r="4149" spans="1:16" x14ac:dyDescent="0.25">
      <c r="A4149" s="2"/>
      <c r="B4149" s="2"/>
      <c r="F4149" s="1"/>
      <c r="G4149" s="1"/>
      <c r="I4149" s="1"/>
      <c r="J4149" s="1"/>
      <c r="L4149" s="1"/>
      <c r="M4149" s="1"/>
      <c r="O4149" s="2"/>
      <c r="P4149" s="2"/>
    </row>
    <row r="4150" spans="1:16" x14ac:dyDescent="0.25">
      <c r="A4150" s="2"/>
      <c r="B4150" s="2"/>
      <c r="F4150" s="1"/>
      <c r="G4150" s="1"/>
      <c r="I4150" s="1"/>
      <c r="J4150" s="1"/>
      <c r="L4150" s="1"/>
      <c r="M4150" s="1"/>
      <c r="O4150" s="2"/>
      <c r="P4150" s="2"/>
    </row>
    <row r="4151" spans="1:16" x14ac:dyDescent="0.25">
      <c r="A4151" s="2"/>
      <c r="B4151" s="2"/>
      <c r="F4151" s="1"/>
      <c r="G4151" s="1"/>
      <c r="I4151" s="1"/>
      <c r="J4151" s="1"/>
      <c r="L4151" s="1"/>
      <c r="M4151" s="1"/>
      <c r="O4151" s="2"/>
      <c r="P4151" s="2"/>
    </row>
    <row r="4152" spans="1:16" x14ac:dyDescent="0.25">
      <c r="A4152" s="2"/>
      <c r="B4152" s="2"/>
      <c r="F4152" s="1"/>
      <c r="G4152" s="1"/>
      <c r="I4152" s="1"/>
      <c r="J4152" s="1"/>
      <c r="L4152" s="1"/>
      <c r="M4152" s="1"/>
      <c r="O4152" s="2"/>
      <c r="P4152" s="2"/>
    </row>
    <row r="4153" spans="1:16" x14ac:dyDescent="0.25">
      <c r="A4153" s="2"/>
      <c r="B4153" s="2"/>
      <c r="F4153" s="1"/>
      <c r="G4153" s="1"/>
      <c r="I4153" s="1"/>
      <c r="J4153" s="1"/>
      <c r="L4153" s="1"/>
      <c r="M4153" s="1"/>
      <c r="O4153" s="2"/>
      <c r="P4153" s="2"/>
    </row>
    <row r="4154" spans="1:16" x14ac:dyDescent="0.25">
      <c r="A4154" s="2"/>
      <c r="B4154" s="2"/>
      <c r="F4154" s="1"/>
      <c r="G4154" s="1"/>
      <c r="I4154" s="1"/>
      <c r="J4154" s="1"/>
      <c r="L4154" s="1"/>
      <c r="M4154" s="1"/>
      <c r="O4154" s="2"/>
      <c r="P4154" s="2"/>
    </row>
    <row r="4155" spans="1:16" x14ac:dyDescent="0.25">
      <c r="A4155" s="2"/>
      <c r="B4155" s="2"/>
      <c r="F4155" s="1"/>
      <c r="G4155" s="1"/>
      <c r="I4155" s="1"/>
      <c r="J4155" s="1"/>
      <c r="L4155" s="1"/>
      <c r="M4155" s="1"/>
      <c r="O4155" s="2"/>
      <c r="P4155" s="2"/>
    </row>
    <row r="4156" spans="1:16" x14ac:dyDescent="0.25">
      <c r="A4156" s="2"/>
      <c r="B4156" s="2"/>
      <c r="F4156" s="1"/>
      <c r="G4156" s="1"/>
      <c r="I4156" s="1"/>
      <c r="J4156" s="1"/>
      <c r="L4156" s="1"/>
      <c r="M4156" s="1"/>
      <c r="O4156" s="2"/>
      <c r="P4156" s="2"/>
    </row>
    <row r="4157" spans="1:16" x14ac:dyDescent="0.25">
      <c r="A4157" s="2"/>
      <c r="B4157" s="2"/>
      <c r="F4157" s="1"/>
      <c r="G4157" s="1"/>
      <c r="I4157" s="1"/>
      <c r="J4157" s="1"/>
      <c r="L4157" s="1"/>
      <c r="M4157" s="1"/>
      <c r="O4157" s="2"/>
      <c r="P4157" s="2"/>
    </row>
    <row r="4158" spans="1:16" x14ac:dyDescent="0.25">
      <c r="A4158" s="2"/>
      <c r="B4158" s="2"/>
      <c r="F4158" s="1"/>
      <c r="G4158" s="1"/>
      <c r="I4158" s="1"/>
      <c r="J4158" s="1"/>
      <c r="L4158" s="1"/>
      <c r="M4158" s="1"/>
      <c r="O4158" s="2"/>
      <c r="P4158" s="2"/>
    </row>
    <row r="4159" spans="1:16" x14ac:dyDescent="0.25">
      <c r="A4159" s="2"/>
      <c r="B4159" s="2"/>
      <c r="F4159" s="1"/>
      <c r="G4159" s="1"/>
      <c r="I4159" s="1"/>
      <c r="J4159" s="1"/>
      <c r="L4159" s="1"/>
      <c r="M4159" s="1"/>
      <c r="O4159" s="2"/>
      <c r="P4159" s="2"/>
    </row>
    <row r="4160" spans="1:16" x14ac:dyDescent="0.25">
      <c r="A4160" s="2"/>
      <c r="B4160" s="2"/>
      <c r="F4160" s="1"/>
      <c r="G4160" s="1"/>
      <c r="I4160" s="1"/>
      <c r="J4160" s="1"/>
      <c r="L4160" s="1"/>
      <c r="M4160" s="1"/>
      <c r="O4160" s="2"/>
      <c r="P4160" s="2"/>
    </row>
    <row r="4161" spans="1:16" x14ac:dyDescent="0.25">
      <c r="A4161" s="2"/>
      <c r="B4161" s="2"/>
      <c r="F4161" s="1"/>
      <c r="G4161" s="1"/>
      <c r="I4161" s="1"/>
      <c r="J4161" s="1"/>
      <c r="L4161" s="1"/>
      <c r="M4161" s="1"/>
      <c r="O4161" s="2"/>
      <c r="P4161" s="2"/>
    </row>
    <row r="4162" spans="1:16" x14ac:dyDescent="0.25">
      <c r="A4162" s="2"/>
      <c r="B4162" s="2"/>
      <c r="F4162" s="1"/>
      <c r="G4162" s="1"/>
      <c r="I4162" s="1"/>
      <c r="J4162" s="1"/>
      <c r="L4162" s="1"/>
      <c r="M4162" s="1"/>
      <c r="O4162" s="2"/>
      <c r="P4162" s="2"/>
    </row>
    <row r="4163" spans="1:16" x14ac:dyDescent="0.25">
      <c r="A4163" s="2"/>
      <c r="B4163" s="2"/>
      <c r="F4163" s="1"/>
      <c r="G4163" s="1"/>
      <c r="I4163" s="1"/>
      <c r="J4163" s="1"/>
      <c r="L4163" s="1"/>
      <c r="M4163" s="1"/>
      <c r="O4163" s="2"/>
      <c r="P4163" s="2"/>
    </row>
    <row r="4164" spans="1:16" x14ac:dyDescent="0.25">
      <c r="A4164" s="2"/>
      <c r="B4164" s="2"/>
      <c r="F4164" s="1"/>
      <c r="G4164" s="1"/>
      <c r="I4164" s="1"/>
      <c r="J4164" s="1"/>
      <c r="L4164" s="1"/>
      <c r="M4164" s="1"/>
      <c r="O4164" s="2"/>
      <c r="P4164" s="2"/>
    </row>
    <row r="4165" spans="1:16" x14ac:dyDescent="0.25">
      <c r="A4165" s="2"/>
      <c r="B4165" s="2"/>
      <c r="F4165" s="1"/>
      <c r="G4165" s="1"/>
      <c r="I4165" s="1"/>
      <c r="J4165" s="1"/>
      <c r="L4165" s="1"/>
      <c r="M4165" s="1"/>
      <c r="O4165" s="2"/>
      <c r="P4165" s="2"/>
    </row>
    <row r="4166" spans="1:16" x14ac:dyDescent="0.25">
      <c r="A4166" s="2"/>
      <c r="B4166" s="2"/>
      <c r="F4166" s="1"/>
      <c r="G4166" s="1"/>
      <c r="I4166" s="1"/>
      <c r="J4166" s="1"/>
      <c r="L4166" s="1"/>
      <c r="M4166" s="1"/>
      <c r="O4166" s="2"/>
      <c r="P4166" s="2"/>
    </row>
    <row r="4167" spans="1:16" x14ac:dyDescent="0.25">
      <c r="A4167" s="2"/>
      <c r="B4167" s="2"/>
      <c r="F4167" s="1"/>
      <c r="G4167" s="1"/>
      <c r="I4167" s="1"/>
      <c r="J4167" s="1"/>
      <c r="L4167" s="1"/>
      <c r="M4167" s="1"/>
      <c r="O4167" s="2"/>
      <c r="P4167" s="2"/>
    </row>
    <row r="4168" spans="1:16" x14ac:dyDescent="0.25">
      <c r="A4168" s="2"/>
      <c r="B4168" s="2"/>
      <c r="F4168" s="1"/>
      <c r="G4168" s="1"/>
      <c r="I4168" s="1"/>
      <c r="J4168" s="1"/>
      <c r="L4168" s="1"/>
      <c r="M4168" s="1"/>
      <c r="O4168" s="2"/>
      <c r="P4168" s="2"/>
    </row>
    <row r="4169" spans="1:16" x14ac:dyDescent="0.25">
      <c r="A4169" s="2"/>
      <c r="B4169" s="2"/>
      <c r="F4169" s="1"/>
      <c r="G4169" s="1"/>
      <c r="I4169" s="1"/>
      <c r="J4169" s="1"/>
      <c r="L4169" s="1"/>
      <c r="M4169" s="1"/>
      <c r="O4169" s="2"/>
      <c r="P4169" s="2"/>
    </row>
    <row r="4170" spans="1:16" x14ac:dyDescent="0.25">
      <c r="A4170" s="2"/>
      <c r="B4170" s="2"/>
      <c r="F4170" s="1"/>
      <c r="G4170" s="1"/>
      <c r="I4170" s="1"/>
      <c r="J4170" s="1"/>
      <c r="L4170" s="1"/>
      <c r="M4170" s="1"/>
      <c r="O4170" s="2"/>
      <c r="P4170" s="2"/>
    </row>
    <row r="4171" spans="1:16" x14ac:dyDescent="0.25">
      <c r="A4171" s="2"/>
      <c r="B4171" s="2"/>
      <c r="F4171" s="1"/>
      <c r="G4171" s="1"/>
      <c r="I4171" s="1"/>
      <c r="J4171" s="1"/>
      <c r="L4171" s="1"/>
      <c r="M4171" s="1"/>
      <c r="O4171" s="2"/>
      <c r="P4171" s="2"/>
    </row>
    <row r="4172" spans="1:16" x14ac:dyDescent="0.25">
      <c r="A4172" s="2"/>
      <c r="B4172" s="2"/>
      <c r="F4172" s="1"/>
      <c r="G4172" s="1"/>
      <c r="I4172" s="1"/>
      <c r="J4172" s="1"/>
      <c r="L4172" s="1"/>
      <c r="M4172" s="1"/>
      <c r="O4172" s="2"/>
      <c r="P4172" s="2"/>
    </row>
    <row r="4173" spans="1:16" x14ac:dyDescent="0.25">
      <c r="A4173" s="2"/>
      <c r="B4173" s="2"/>
      <c r="F4173" s="1"/>
      <c r="G4173" s="1"/>
      <c r="I4173" s="1"/>
      <c r="J4173" s="1"/>
      <c r="L4173" s="1"/>
      <c r="M4173" s="1"/>
      <c r="O4173" s="2"/>
      <c r="P4173" s="2"/>
    </row>
    <row r="4174" spans="1:16" x14ac:dyDescent="0.25">
      <c r="A4174" s="2"/>
      <c r="B4174" s="2"/>
      <c r="F4174" s="1"/>
      <c r="G4174" s="1"/>
      <c r="I4174" s="1"/>
      <c r="J4174" s="1"/>
      <c r="L4174" s="1"/>
      <c r="M4174" s="1"/>
      <c r="O4174" s="2"/>
      <c r="P4174" s="2"/>
    </row>
    <row r="4175" spans="1:16" x14ac:dyDescent="0.25">
      <c r="A4175" s="2"/>
      <c r="B4175" s="2"/>
      <c r="F4175" s="1"/>
      <c r="G4175" s="1"/>
      <c r="I4175" s="1"/>
      <c r="J4175" s="1"/>
      <c r="L4175" s="1"/>
      <c r="M4175" s="1"/>
      <c r="O4175" s="2"/>
      <c r="P4175" s="2"/>
    </row>
    <row r="4176" spans="1:16" x14ac:dyDescent="0.25">
      <c r="A4176" s="2"/>
      <c r="B4176" s="2"/>
      <c r="F4176" s="1"/>
      <c r="G4176" s="1"/>
      <c r="I4176" s="1"/>
      <c r="J4176" s="1"/>
      <c r="L4176" s="1"/>
      <c r="M4176" s="1"/>
      <c r="O4176" s="2"/>
      <c r="P4176" s="2"/>
    </row>
    <row r="4177" spans="1:16" x14ac:dyDescent="0.25">
      <c r="A4177" s="2"/>
      <c r="B4177" s="2"/>
      <c r="F4177" s="1"/>
      <c r="G4177" s="1"/>
      <c r="I4177" s="1"/>
      <c r="J4177" s="1"/>
      <c r="L4177" s="1"/>
      <c r="M4177" s="1"/>
      <c r="O4177" s="2"/>
      <c r="P4177" s="2"/>
    </row>
    <row r="4178" spans="1:16" x14ac:dyDescent="0.25">
      <c r="A4178" s="2"/>
      <c r="B4178" s="2"/>
      <c r="F4178" s="1"/>
      <c r="G4178" s="1"/>
      <c r="I4178" s="1"/>
      <c r="J4178" s="1"/>
      <c r="L4178" s="1"/>
      <c r="M4178" s="1"/>
      <c r="O4178" s="2"/>
      <c r="P4178" s="2"/>
    </row>
    <row r="4179" spans="1:16" x14ac:dyDescent="0.25">
      <c r="A4179" s="2"/>
      <c r="B4179" s="2"/>
      <c r="F4179" s="1"/>
      <c r="G4179" s="1"/>
      <c r="I4179" s="1"/>
      <c r="J4179" s="1"/>
      <c r="L4179" s="1"/>
      <c r="M4179" s="1"/>
      <c r="O4179" s="2"/>
      <c r="P4179" s="2"/>
    </row>
    <row r="4180" spans="1:16" x14ac:dyDescent="0.25">
      <c r="A4180" s="2"/>
      <c r="B4180" s="2"/>
      <c r="F4180" s="1"/>
      <c r="G4180" s="1"/>
      <c r="I4180" s="1"/>
      <c r="J4180" s="1"/>
      <c r="L4180" s="1"/>
      <c r="M4180" s="1"/>
      <c r="O4180" s="2"/>
      <c r="P4180" s="2"/>
    </row>
    <row r="4181" spans="1:16" x14ac:dyDescent="0.25">
      <c r="A4181" s="2"/>
      <c r="B4181" s="2"/>
      <c r="F4181" s="1"/>
      <c r="G4181" s="1"/>
      <c r="I4181" s="1"/>
      <c r="J4181" s="1"/>
      <c r="L4181" s="1"/>
      <c r="M4181" s="1"/>
      <c r="O4181" s="2"/>
      <c r="P4181" s="2"/>
    </row>
    <row r="4182" spans="1:16" x14ac:dyDescent="0.25">
      <c r="A4182" s="2"/>
      <c r="B4182" s="2"/>
      <c r="F4182" s="1"/>
      <c r="G4182" s="1"/>
      <c r="I4182" s="1"/>
      <c r="J4182" s="1"/>
      <c r="L4182" s="1"/>
      <c r="M4182" s="1"/>
      <c r="O4182" s="2"/>
      <c r="P4182" s="2"/>
    </row>
    <row r="4183" spans="1:16" x14ac:dyDescent="0.25">
      <c r="A4183" s="2"/>
      <c r="B4183" s="2"/>
      <c r="F4183" s="1"/>
      <c r="G4183" s="1"/>
      <c r="I4183" s="1"/>
      <c r="J4183" s="1"/>
      <c r="L4183" s="1"/>
      <c r="M4183" s="1"/>
      <c r="O4183" s="2"/>
      <c r="P4183" s="2"/>
    </row>
    <row r="4184" spans="1:16" x14ac:dyDescent="0.25">
      <c r="A4184" s="2"/>
      <c r="B4184" s="2"/>
      <c r="F4184" s="1"/>
      <c r="G4184" s="1"/>
      <c r="I4184" s="1"/>
      <c r="J4184" s="1"/>
      <c r="L4184" s="1"/>
      <c r="M4184" s="1"/>
      <c r="O4184" s="2"/>
      <c r="P4184" s="2"/>
    </row>
    <row r="4185" spans="1:16" x14ac:dyDescent="0.25">
      <c r="A4185" s="2"/>
      <c r="B4185" s="2"/>
      <c r="F4185" s="1"/>
      <c r="G4185" s="1"/>
      <c r="I4185" s="1"/>
      <c r="J4185" s="1"/>
      <c r="L4185" s="1"/>
      <c r="M4185" s="1"/>
      <c r="O4185" s="2"/>
      <c r="P4185" s="2"/>
    </row>
    <row r="4186" spans="1:16" x14ac:dyDescent="0.25">
      <c r="A4186" s="2"/>
      <c r="B4186" s="2"/>
      <c r="F4186" s="1"/>
      <c r="G4186" s="1"/>
      <c r="I4186" s="1"/>
      <c r="J4186" s="1"/>
      <c r="L4186" s="1"/>
      <c r="M4186" s="1"/>
      <c r="O4186" s="2"/>
      <c r="P4186" s="2"/>
    </row>
    <row r="4187" spans="1:16" x14ac:dyDescent="0.25">
      <c r="A4187" s="2"/>
      <c r="B4187" s="2"/>
      <c r="F4187" s="1"/>
      <c r="G4187" s="1"/>
      <c r="I4187" s="1"/>
      <c r="J4187" s="1"/>
      <c r="L4187" s="1"/>
      <c r="M4187" s="1"/>
      <c r="O4187" s="2"/>
      <c r="P4187" s="2"/>
    </row>
    <row r="4188" spans="1:16" x14ac:dyDescent="0.25">
      <c r="A4188" s="2"/>
      <c r="B4188" s="2"/>
      <c r="F4188" s="1"/>
      <c r="G4188" s="1"/>
      <c r="I4188" s="1"/>
      <c r="J4188" s="1"/>
      <c r="L4188" s="1"/>
      <c r="M4188" s="1"/>
      <c r="O4188" s="2"/>
      <c r="P4188" s="2"/>
    </row>
    <row r="4189" spans="1:16" x14ac:dyDescent="0.25">
      <c r="A4189" s="2"/>
      <c r="B4189" s="2"/>
      <c r="F4189" s="1"/>
      <c r="G4189" s="1"/>
      <c r="I4189" s="1"/>
      <c r="J4189" s="1"/>
      <c r="L4189" s="1"/>
      <c r="M4189" s="1"/>
      <c r="O4189" s="2"/>
      <c r="P4189" s="2"/>
    </row>
    <row r="4190" spans="1:16" x14ac:dyDescent="0.25">
      <c r="A4190" s="2"/>
      <c r="B4190" s="2"/>
      <c r="F4190" s="1"/>
      <c r="G4190" s="1"/>
      <c r="I4190" s="1"/>
      <c r="J4190" s="1"/>
      <c r="L4190" s="1"/>
      <c r="M4190" s="1"/>
      <c r="O4190" s="2"/>
      <c r="P4190" s="2"/>
    </row>
    <row r="4191" spans="1:16" x14ac:dyDescent="0.25">
      <c r="A4191" s="2"/>
      <c r="B4191" s="2"/>
      <c r="F4191" s="1"/>
      <c r="G4191" s="1"/>
      <c r="I4191" s="1"/>
      <c r="J4191" s="1"/>
      <c r="L4191" s="1"/>
      <c r="M4191" s="1"/>
      <c r="O4191" s="2"/>
      <c r="P4191" s="2"/>
    </row>
    <row r="4192" spans="1:16" x14ac:dyDescent="0.25">
      <c r="A4192" s="2"/>
      <c r="B4192" s="2"/>
      <c r="F4192" s="1"/>
      <c r="G4192" s="1"/>
      <c r="I4192" s="1"/>
      <c r="J4192" s="1"/>
      <c r="L4192" s="1"/>
      <c r="M4192" s="1"/>
      <c r="O4192" s="2"/>
      <c r="P4192" s="2"/>
    </row>
    <row r="4193" spans="1:16" x14ac:dyDescent="0.25">
      <c r="A4193" s="2"/>
      <c r="B4193" s="2"/>
      <c r="F4193" s="1"/>
      <c r="G4193" s="1"/>
      <c r="I4193" s="1"/>
      <c r="J4193" s="1"/>
      <c r="L4193" s="1"/>
      <c r="M4193" s="1"/>
      <c r="O4193" s="2"/>
      <c r="P4193" s="2"/>
    </row>
    <row r="4194" spans="1:16" x14ac:dyDescent="0.25">
      <c r="A4194" s="2"/>
      <c r="B4194" s="2"/>
      <c r="F4194" s="1"/>
      <c r="G4194" s="1"/>
      <c r="I4194" s="1"/>
      <c r="J4194" s="1"/>
      <c r="L4194" s="1"/>
      <c r="M4194" s="1"/>
      <c r="O4194" s="2"/>
      <c r="P4194" s="2"/>
    </row>
    <row r="4195" spans="1:16" x14ac:dyDescent="0.25">
      <c r="A4195" s="2"/>
      <c r="B4195" s="2"/>
      <c r="F4195" s="1"/>
      <c r="G4195" s="1"/>
      <c r="I4195" s="1"/>
      <c r="J4195" s="1"/>
      <c r="L4195" s="1"/>
      <c r="M4195" s="1"/>
      <c r="O4195" s="2"/>
      <c r="P4195" s="2"/>
    </row>
    <row r="4196" spans="1:16" x14ac:dyDescent="0.25">
      <c r="A4196" s="2"/>
      <c r="B4196" s="2"/>
      <c r="F4196" s="1"/>
      <c r="G4196" s="1"/>
      <c r="I4196" s="1"/>
      <c r="J4196" s="1"/>
      <c r="L4196" s="1"/>
      <c r="M4196" s="1"/>
      <c r="O4196" s="2"/>
      <c r="P4196" s="2"/>
    </row>
    <row r="4197" spans="1:16" x14ac:dyDescent="0.25">
      <c r="A4197" s="2"/>
      <c r="B4197" s="2"/>
      <c r="F4197" s="1"/>
      <c r="G4197" s="1"/>
      <c r="I4197" s="1"/>
      <c r="J4197" s="1"/>
      <c r="L4197" s="1"/>
      <c r="M4197" s="1"/>
      <c r="O4197" s="2"/>
      <c r="P4197" s="2"/>
    </row>
    <row r="4198" spans="1:16" x14ac:dyDescent="0.25">
      <c r="A4198" s="2"/>
      <c r="B4198" s="2"/>
      <c r="F4198" s="1"/>
      <c r="G4198" s="1"/>
      <c r="I4198" s="1"/>
      <c r="J4198" s="1"/>
      <c r="L4198" s="1"/>
      <c r="M4198" s="1"/>
      <c r="O4198" s="2"/>
      <c r="P4198" s="2"/>
    </row>
    <row r="4199" spans="1:16" x14ac:dyDescent="0.25">
      <c r="A4199" s="2"/>
      <c r="B4199" s="2"/>
      <c r="F4199" s="1"/>
      <c r="G4199" s="1"/>
      <c r="I4199" s="1"/>
      <c r="J4199" s="1"/>
      <c r="L4199" s="1"/>
      <c r="M4199" s="1"/>
      <c r="O4199" s="2"/>
      <c r="P4199" s="2"/>
    </row>
    <row r="4200" spans="1:16" x14ac:dyDescent="0.25">
      <c r="A4200" s="2"/>
      <c r="B4200" s="2"/>
      <c r="F4200" s="1"/>
      <c r="G4200" s="1"/>
      <c r="I4200" s="1"/>
      <c r="J4200" s="1"/>
      <c r="L4200" s="1"/>
      <c r="M4200" s="1"/>
      <c r="O4200" s="2"/>
      <c r="P4200" s="2"/>
    </row>
    <row r="4201" spans="1:16" x14ac:dyDescent="0.25">
      <c r="A4201" s="2"/>
      <c r="B4201" s="2"/>
      <c r="F4201" s="1"/>
      <c r="G4201" s="1"/>
      <c r="I4201" s="1"/>
      <c r="J4201" s="1"/>
      <c r="L4201" s="1"/>
      <c r="M4201" s="1"/>
      <c r="O4201" s="2"/>
      <c r="P4201" s="2"/>
    </row>
    <row r="4202" spans="1:16" x14ac:dyDescent="0.25">
      <c r="A4202" s="2"/>
      <c r="B4202" s="2"/>
      <c r="F4202" s="1"/>
      <c r="G4202" s="1"/>
      <c r="I4202" s="1"/>
      <c r="J4202" s="1"/>
      <c r="L4202" s="1"/>
      <c r="M4202" s="1"/>
      <c r="O4202" s="2"/>
      <c r="P4202" s="2"/>
    </row>
    <row r="4203" spans="1:16" x14ac:dyDescent="0.25">
      <c r="A4203" s="2"/>
      <c r="B4203" s="2"/>
      <c r="F4203" s="1"/>
      <c r="G4203" s="1"/>
      <c r="I4203" s="1"/>
      <c r="J4203" s="1"/>
      <c r="L4203" s="1"/>
      <c r="M4203" s="1"/>
      <c r="O4203" s="2"/>
      <c r="P4203" s="2"/>
    </row>
    <row r="4204" spans="1:16" x14ac:dyDescent="0.25">
      <c r="A4204" s="2"/>
      <c r="B4204" s="2"/>
      <c r="F4204" s="1"/>
      <c r="G4204" s="1"/>
      <c r="I4204" s="1"/>
      <c r="J4204" s="1"/>
      <c r="L4204" s="1"/>
      <c r="M4204" s="1"/>
      <c r="O4204" s="2"/>
      <c r="P4204" s="2"/>
    </row>
    <row r="4205" spans="1:16" x14ac:dyDescent="0.25">
      <c r="A4205" s="2"/>
      <c r="B4205" s="2"/>
      <c r="F4205" s="1"/>
      <c r="G4205" s="1"/>
      <c r="I4205" s="1"/>
      <c r="J4205" s="1"/>
      <c r="L4205" s="1"/>
      <c r="M4205" s="1"/>
      <c r="O4205" s="2"/>
      <c r="P4205" s="2"/>
    </row>
    <row r="4206" spans="1:16" x14ac:dyDescent="0.25">
      <c r="A4206" s="2"/>
      <c r="B4206" s="2"/>
      <c r="F4206" s="1"/>
      <c r="G4206" s="1"/>
      <c r="I4206" s="1"/>
      <c r="J4206" s="1"/>
      <c r="L4206" s="1"/>
      <c r="M4206" s="1"/>
      <c r="O4206" s="2"/>
      <c r="P4206" s="2"/>
    </row>
    <row r="4207" spans="1:16" x14ac:dyDescent="0.25">
      <c r="A4207" s="2"/>
      <c r="B4207" s="2"/>
      <c r="F4207" s="1"/>
      <c r="G4207" s="1"/>
      <c r="I4207" s="1"/>
      <c r="J4207" s="1"/>
      <c r="L4207" s="1"/>
      <c r="M4207" s="1"/>
      <c r="O4207" s="2"/>
      <c r="P4207" s="2"/>
    </row>
    <row r="4208" spans="1:16" x14ac:dyDescent="0.25">
      <c r="A4208" s="2"/>
      <c r="B4208" s="2"/>
      <c r="F4208" s="1"/>
      <c r="G4208" s="1"/>
      <c r="I4208" s="1"/>
      <c r="J4208" s="1"/>
      <c r="L4208" s="1"/>
      <c r="M4208" s="1"/>
      <c r="O4208" s="2"/>
      <c r="P4208" s="2"/>
    </row>
    <row r="4209" spans="1:16" x14ac:dyDescent="0.25">
      <c r="A4209" s="2"/>
      <c r="B4209" s="2"/>
      <c r="F4209" s="1"/>
      <c r="G4209" s="1"/>
      <c r="I4209" s="1"/>
      <c r="J4209" s="1"/>
      <c r="L4209" s="1"/>
      <c r="M4209" s="1"/>
      <c r="O4209" s="2"/>
      <c r="P4209" s="2"/>
    </row>
    <row r="4210" spans="1:16" x14ac:dyDescent="0.25">
      <c r="A4210" s="2"/>
      <c r="B4210" s="2"/>
      <c r="F4210" s="1"/>
      <c r="G4210" s="1"/>
      <c r="I4210" s="1"/>
      <c r="J4210" s="1"/>
      <c r="L4210" s="1"/>
      <c r="M4210" s="1"/>
      <c r="O4210" s="2"/>
      <c r="P4210" s="2"/>
    </row>
    <row r="4211" spans="1:16" x14ac:dyDescent="0.25">
      <c r="A4211" s="2"/>
      <c r="B4211" s="2"/>
      <c r="F4211" s="1"/>
      <c r="G4211" s="1"/>
      <c r="I4211" s="1"/>
      <c r="J4211" s="1"/>
      <c r="L4211" s="1"/>
      <c r="M4211" s="1"/>
      <c r="O4211" s="2"/>
      <c r="P4211" s="2"/>
    </row>
    <row r="4212" spans="1:16" x14ac:dyDescent="0.25">
      <c r="A4212" s="2"/>
      <c r="B4212" s="2"/>
      <c r="F4212" s="1"/>
      <c r="G4212" s="1"/>
      <c r="I4212" s="1"/>
      <c r="J4212" s="1"/>
      <c r="L4212" s="1"/>
      <c r="M4212" s="1"/>
      <c r="O4212" s="2"/>
      <c r="P4212" s="2"/>
    </row>
    <row r="4213" spans="1:16" x14ac:dyDescent="0.25">
      <c r="A4213" s="2"/>
      <c r="B4213" s="2"/>
      <c r="F4213" s="1"/>
      <c r="G4213" s="1"/>
      <c r="I4213" s="1"/>
      <c r="J4213" s="1"/>
      <c r="L4213" s="1"/>
      <c r="M4213" s="1"/>
      <c r="O4213" s="2"/>
      <c r="P4213" s="2"/>
    </row>
    <row r="4214" spans="1:16" x14ac:dyDescent="0.25">
      <c r="A4214" s="2"/>
      <c r="B4214" s="2"/>
      <c r="F4214" s="1"/>
      <c r="G4214" s="1"/>
      <c r="I4214" s="1"/>
      <c r="J4214" s="1"/>
      <c r="L4214" s="1"/>
      <c r="M4214" s="1"/>
      <c r="O4214" s="2"/>
      <c r="P4214" s="2"/>
    </row>
    <row r="4215" spans="1:16" x14ac:dyDescent="0.25">
      <c r="A4215" s="2"/>
      <c r="B4215" s="2"/>
      <c r="F4215" s="1"/>
      <c r="G4215" s="1"/>
      <c r="I4215" s="1"/>
      <c r="J4215" s="1"/>
      <c r="L4215" s="1"/>
      <c r="M4215" s="1"/>
      <c r="O4215" s="2"/>
      <c r="P4215" s="2"/>
    </row>
    <row r="4216" spans="1:16" x14ac:dyDescent="0.25">
      <c r="A4216" s="2"/>
      <c r="B4216" s="2"/>
      <c r="F4216" s="1"/>
      <c r="G4216" s="1"/>
      <c r="I4216" s="1"/>
      <c r="J4216" s="1"/>
      <c r="L4216" s="1"/>
      <c r="M4216" s="1"/>
      <c r="O4216" s="2"/>
      <c r="P4216" s="2"/>
    </row>
    <row r="4217" spans="1:16" x14ac:dyDescent="0.25">
      <c r="A4217" s="2"/>
      <c r="B4217" s="2"/>
      <c r="F4217" s="1"/>
      <c r="G4217" s="1"/>
      <c r="I4217" s="1"/>
      <c r="J4217" s="1"/>
      <c r="L4217" s="1"/>
      <c r="M4217" s="1"/>
      <c r="O4217" s="2"/>
      <c r="P4217" s="2"/>
    </row>
    <row r="4218" spans="1:16" x14ac:dyDescent="0.25">
      <c r="A4218" s="2"/>
      <c r="B4218" s="2"/>
      <c r="F4218" s="1"/>
      <c r="G4218" s="1"/>
      <c r="I4218" s="1"/>
      <c r="J4218" s="1"/>
      <c r="L4218" s="1"/>
      <c r="M4218" s="1"/>
      <c r="O4218" s="2"/>
      <c r="P4218" s="2"/>
    </row>
    <row r="4219" spans="1:16" x14ac:dyDescent="0.25">
      <c r="A4219" s="2"/>
      <c r="B4219" s="2"/>
      <c r="F4219" s="1"/>
      <c r="G4219" s="1"/>
      <c r="I4219" s="1"/>
      <c r="J4219" s="1"/>
      <c r="L4219" s="1"/>
      <c r="M4219" s="1"/>
      <c r="O4219" s="2"/>
      <c r="P4219" s="2"/>
    </row>
    <row r="4220" spans="1:16" x14ac:dyDescent="0.25">
      <c r="A4220" s="2"/>
      <c r="B4220" s="2"/>
      <c r="F4220" s="1"/>
      <c r="G4220" s="1"/>
      <c r="I4220" s="1"/>
      <c r="J4220" s="1"/>
      <c r="L4220" s="1"/>
      <c r="M4220" s="1"/>
      <c r="O4220" s="2"/>
      <c r="P4220" s="2"/>
    </row>
    <row r="4221" spans="1:16" x14ac:dyDescent="0.25">
      <c r="A4221" s="2"/>
      <c r="B4221" s="2"/>
      <c r="F4221" s="1"/>
      <c r="G4221" s="1"/>
      <c r="I4221" s="1"/>
      <c r="J4221" s="1"/>
      <c r="L4221" s="1"/>
      <c r="M4221" s="1"/>
      <c r="O4221" s="2"/>
      <c r="P4221" s="2"/>
    </row>
    <row r="4222" spans="1:16" x14ac:dyDescent="0.25">
      <c r="A4222" s="2"/>
      <c r="B4222" s="2"/>
      <c r="F4222" s="1"/>
      <c r="G4222" s="1"/>
      <c r="I4222" s="1"/>
      <c r="J4222" s="1"/>
      <c r="L4222" s="1"/>
      <c r="M4222" s="1"/>
      <c r="O4222" s="2"/>
      <c r="P4222" s="2"/>
    </row>
    <row r="4223" spans="1:16" x14ac:dyDescent="0.25">
      <c r="A4223" s="2"/>
      <c r="B4223" s="2"/>
      <c r="F4223" s="1"/>
      <c r="G4223" s="1"/>
      <c r="I4223" s="1"/>
      <c r="J4223" s="1"/>
      <c r="L4223" s="1"/>
      <c r="M4223" s="1"/>
      <c r="O4223" s="2"/>
      <c r="P4223" s="2"/>
    </row>
    <row r="4224" spans="1:16" x14ac:dyDescent="0.25">
      <c r="A4224" s="2"/>
      <c r="B4224" s="2"/>
      <c r="F4224" s="1"/>
      <c r="G4224" s="1"/>
      <c r="I4224" s="1"/>
      <c r="J4224" s="1"/>
      <c r="L4224" s="1"/>
      <c r="M4224" s="1"/>
      <c r="O4224" s="2"/>
      <c r="P4224" s="2"/>
    </row>
    <row r="4225" spans="1:16" x14ac:dyDescent="0.25">
      <c r="A4225" s="2"/>
      <c r="B4225" s="2"/>
      <c r="F4225" s="1"/>
      <c r="G4225" s="1"/>
      <c r="I4225" s="1"/>
      <c r="J4225" s="1"/>
      <c r="L4225" s="1"/>
      <c r="M4225" s="1"/>
      <c r="O4225" s="2"/>
      <c r="P4225" s="2"/>
    </row>
    <row r="4226" spans="1:16" x14ac:dyDescent="0.25">
      <c r="A4226" s="2"/>
      <c r="B4226" s="2"/>
      <c r="F4226" s="1"/>
      <c r="G4226" s="1"/>
      <c r="I4226" s="1"/>
      <c r="J4226" s="1"/>
      <c r="L4226" s="1"/>
      <c r="M4226" s="1"/>
      <c r="O4226" s="2"/>
      <c r="P4226" s="2"/>
    </row>
    <row r="4227" spans="1:16" x14ac:dyDescent="0.25">
      <c r="A4227" s="2"/>
      <c r="B4227" s="2"/>
      <c r="F4227" s="1"/>
      <c r="G4227" s="1"/>
      <c r="I4227" s="1"/>
      <c r="J4227" s="1"/>
      <c r="L4227" s="1"/>
      <c r="M4227" s="1"/>
      <c r="O4227" s="2"/>
      <c r="P4227" s="2"/>
    </row>
    <row r="4228" spans="1:16" x14ac:dyDescent="0.25">
      <c r="A4228" s="2"/>
      <c r="B4228" s="2"/>
      <c r="F4228" s="1"/>
      <c r="G4228" s="1"/>
      <c r="I4228" s="1"/>
      <c r="J4228" s="1"/>
      <c r="L4228" s="1"/>
      <c r="M4228" s="1"/>
      <c r="O4228" s="2"/>
      <c r="P4228" s="2"/>
    </row>
    <row r="4229" spans="1:16" x14ac:dyDescent="0.25">
      <c r="A4229" s="2"/>
      <c r="B4229" s="2"/>
      <c r="F4229" s="1"/>
      <c r="G4229" s="1"/>
      <c r="I4229" s="1"/>
      <c r="J4229" s="1"/>
      <c r="L4229" s="1"/>
      <c r="M4229" s="1"/>
      <c r="O4229" s="2"/>
      <c r="P4229" s="2"/>
    </row>
    <row r="4230" spans="1:16" x14ac:dyDescent="0.25">
      <c r="A4230" s="2"/>
      <c r="B4230" s="2"/>
      <c r="F4230" s="1"/>
      <c r="G4230" s="1"/>
      <c r="I4230" s="1"/>
      <c r="J4230" s="1"/>
      <c r="L4230" s="1"/>
      <c r="M4230" s="1"/>
      <c r="O4230" s="2"/>
      <c r="P4230" s="2"/>
    </row>
    <row r="4231" spans="1:16" x14ac:dyDescent="0.25">
      <c r="A4231" s="2"/>
      <c r="B4231" s="2"/>
      <c r="F4231" s="1"/>
      <c r="G4231" s="1"/>
      <c r="I4231" s="1"/>
      <c r="J4231" s="1"/>
      <c r="L4231" s="1"/>
      <c r="M4231" s="1"/>
      <c r="O4231" s="2"/>
      <c r="P4231" s="2"/>
    </row>
    <row r="4232" spans="1:16" x14ac:dyDescent="0.25">
      <c r="A4232" s="2"/>
      <c r="B4232" s="2"/>
      <c r="F4232" s="1"/>
      <c r="G4232" s="1"/>
      <c r="I4232" s="1"/>
      <c r="J4232" s="1"/>
      <c r="L4232" s="1"/>
      <c r="M4232" s="1"/>
      <c r="O4232" s="2"/>
      <c r="P4232" s="2"/>
    </row>
    <row r="4233" spans="1:16" x14ac:dyDescent="0.25">
      <c r="A4233" s="2"/>
      <c r="B4233" s="2"/>
      <c r="F4233" s="1"/>
      <c r="G4233" s="1"/>
      <c r="I4233" s="1"/>
      <c r="J4233" s="1"/>
      <c r="L4233" s="1"/>
      <c r="M4233" s="1"/>
      <c r="O4233" s="2"/>
      <c r="P4233" s="2"/>
    </row>
    <row r="4234" spans="1:16" x14ac:dyDescent="0.25">
      <c r="A4234" s="2"/>
      <c r="B4234" s="2"/>
      <c r="F4234" s="1"/>
      <c r="G4234" s="1"/>
      <c r="I4234" s="1"/>
      <c r="J4234" s="1"/>
      <c r="L4234" s="1"/>
      <c r="M4234" s="1"/>
      <c r="O4234" s="2"/>
      <c r="P4234" s="2"/>
    </row>
    <row r="4235" spans="1:16" x14ac:dyDescent="0.25">
      <c r="A4235" s="2"/>
      <c r="B4235" s="2"/>
      <c r="F4235" s="1"/>
      <c r="G4235" s="1"/>
      <c r="I4235" s="1"/>
      <c r="J4235" s="1"/>
      <c r="L4235" s="1"/>
      <c r="M4235" s="1"/>
      <c r="O4235" s="2"/>
      <c r="P4235" s="2"/>
    </row>
    <row r="4236" spans="1:16" x14ac:dyDescent="0.25">
      <c r="A4236" s="2"/>
      <c r="B4236" s="2"/>
      <c r="F4236" s="1"/>
      <c r="G4236" s="1"/>
      <c r="I4236" s="1"/>
      <c r="J4236" s="1"/>
      <c r="L4236" s="1"/>
      <c r="M4236" s="1"/>
      <c r="O4236" s="2"/>
      <c r="P4236" s="2"/>
    </row>
    <row r="4237" spans="1:16" x14ac:dyDescent="0.25">
      <c r="A4237" s="2"/>
      <c r="B4237" s="2"/>
      <c r="F4237" s="1"/>
      <c r="G4237" s="1"/>
      <c r="I4237" s="1"/>
      <c r="J4237" s="1"/>
      <c r="L4237" s="1"/>
      <c r="M4237" s="1"/>
      <c r="O4237" s="2"/>
      <c r="P4237" s="2"/>
    </row>
    <row r="4238" spans="1:16" x14ac:dyDescent="0.25">
      <c r="A4238" s="2"/>
      <c r="B4238" s="2"/>
      <c r="F4238" s="1"/>
      <c r="G4238" s="1"/>
      <c r="I4238" s="1"/>
      <c r="J4238" s="1"/>
      <c r="L4238" s="1"/>
      <c r="M4238" s="1"/>
      <c r="O4238" s="2"/>
      <c r="P4238" s="2"/>
    </row>
    <row r="4239" spans="1:16" x14ac:dyDescent="0.25">
      <c r="A4239" s="2"/>
      <c r="B4239" s="2"/>
      <c r="F4239" s="1"/>
      <c r="G4239" s="1"/>
      <c r="I4239" s="1"/>
      <c r="J4239" s="1"/>
      <c r="L4239" s="1"/>
      <c r="M4239" s="1"/>
      <c r="O4239" s="2"/>
      <c r="P4239" s="2"/>
    </row>
    <row r="4240" spans="1:16" x14ac:dyDescent="0.25">
      <c r="A4240" s="2"/>
      <c r="B4240" s="2"/>
      <c r="F4240" s="1"/>
      <c r="G4240" s="1"/>
      <c r="I4240" s="1"/>
      <c r="J4240" s="1"/>
      <c r="L4240" s="1"/>
      <c r="M4240" s="1"/>
      <c r="O4240" s="2"/>
      <c r="P4240" s="2"/>
    </row>
    <row r="4241" spans="1:16" x14ac:dyDescent="0.25">
      <c r="A4241" s="2"/>
      <c r="B4241" s="2"/>
      <c r="F4241" s="1"/>
      <c r="G4241" s="1"/>
      <c r="I4241" s="1"/>
      <c r="J4241" s="1"/>
      <c r="L4241" s="1"/>
      <c r="M4241" s="1"/>
      <c r="O4241" s="2"/>
      <c r="P4241" s="2"/>
    </row>
    <row r="4242" spans="1:16" x14ac:dyDescent="0.25">
      <c r="A4242" s="2"/>
      <c r="B4242" s="2"/>
      <c r="F4242" s="1"/>
      <c r="G4242" s="1"/>
      <c r="I4242" s="1"/>
      <c r="J4242" s="1"/>
      <c r="L4242" s="1"/>
      <c r="M4242" s="1"/>
      <c r="O4242" s="2"/>
      <c r="P4242" s="2"/>
    </row>
    <row r="4243" spans="1:16" x14ac:dyDescent="0.25">
      <c r="A4243" s="2"/>
      <c r="B4243" s="2"/>
      <c r="F4243" s="1"/>
      <c r="G4243" s="1"/>
      <c r="I4243" s="1"/>
      <c r="J4243" s="1"/>
      <c r="L4243" s="1"/>
      <c r="M4243" s="1"/>
      <c r="O4243" s="2"/>
      <c r="P4243" s="2"/>
    </row>
    <row r="4244" spans="1:16" x14ac:dyDescent="0.25">
      <c r="A4244" s="2"/>
      <c r="B4244" s="2"/>
      <c r="F4244" s="1"/>
      <c r="G4244" s="1"/>
      <c r="I4244" s="1"/>
      <c r="J4244" s="1"/>
      <c r="L4244" s="1"/>
      <c r="M4244" s="1"/>
      <c r="O4244" s="2"/>
      <c r="P4244" s="2"/>
    </row>
    <row r="4245" spans="1:16" x14ac:dyDescent="0.25">
      <c r="A4245" s="2"/>
      <c r="B4245" s="2"/>
      <c r="F4245" s="1"/>
      <c r="G4245" s="1"/>
      <c r="I4245" s="1"/>
      <c r="J4245" s="1"/>
      <c r="L4245" s="1"/>
      <c r="M4245" s="1"/>
      <c r="O4245" s="2"/>
      <c r="P4245" s="2"/>
    </row>
    <row r="4246" spans="1:16" x14ac:dyDescent="0.25">
      <c r="A4246" s="2"/>
      <c r="B4246" s="2"/>
      <c r="F4246" s="1"/>
      <c r="G4246" s="1"/>
      <c r="I4246" s="1"/>
      <c r="J4246" s="1"/>
      <c r="L4246" s="1"/>
      <c r="M4246" s="1"/>
      <c r="O4246" s="2"/>
      <c r="P4246" s="2"/>
    </row>
    <row r="4247" spans="1:16" x14ac:dyDescent="0.25">
      <c r="A4247" s="2"/>
      <c r="B4247" s="2"/>
      <c r="F4247" s="1"/>
      <c r="G4247" s="1"/>
      <c r="I4247" s="1"/>
      <c r="J4247" s="1"/>
      <c r="L4247" s="1"/>
      <c r="M4247" s="1"/>
      <c r="O4247" s="2"/>
      <c r="P4247" s="2"/>
    </row>
    <row r="4248" spans="1:16" x14ac:dyDescent="0.25">
      <c r="A4248" s="2"/>
      <c r="B4248" s="2"/>
      <c r="F4248" s="1"/>
      <c r="G4248" s="1"/>
      <c r="I4248" s="1"/>
      <c r="J4248" s="1"/>
      <c r="L4248" s="1"/>
      <c r="M4248" s="1"/>
      <c r="O4248" s="2"/>
      <c r="P4248" s="2"/>
    </row>
    <row r="4249" spans="1:16" x14ac:dyDescent="0.25">
      <c r="A4249" s="2"/>
      <c r="B4249" s="2"/>
      <c r="F4249" s="1"/>
      <c r="G4249" s="1"/>
      <c r="I4249" s="1"/>
      <c r="J4249" s="1"/>
      <c r="L4249" s="1"/>
      <c r="M4249" s="1"/>
      <c r="O4249" s="2"/>
      <c r="P4249" s="2"/>
    </row>
    <row r="4250" spans="1:16" x14ac:dyDescent="0.25">
      <c r="A4250" s="2"/>
      <c r="B4250" s="2"/>
      <c r="F4250" s="1"/>
      <c r="G4250" s="1"/>
      <c r="I4250" s="1"/>
      <c r="J4250" s="1"/>
      <c r="L4250" s="1"/>
      <c r="M4250" s="1"/>
      <c r="O4250" s="2"/>
      <c r="P4250" s="2"/>
    </row>
    <row r="4251" spans="1:16" x14ac:dyDescent="0.25">
      <c r="A4251" s="2"/>
      <c r="B4251" s="2"/>
      <c r="F4251" s="1"/>
      <c r="G4251" s="1"/>
      <c r="I4251" s="1"/>
      <c r="J4251" s="1"/>
      <c r="L4251" s="1"/>
      <c r="M4251" s="1"/>
      <c r="O4251" s="2"/>
      <c r="P4251" s="2"/>
    </row>
    <row r="4252" spans="1:16" x14ac:dyDescent="0.25">
      <c r="A4252" s="2"/>
      <c r="B4252" s="2"/>
      <c r="F4252" s="1"/>
      <c r="G4252" s="1"/>
      <c r="I4252" s="1"/>
      <c r="J4252" s="1"/>
      <c r="L4252" s="1"/>
      <c r="M4252" s="1"/>
      <c r="O4252" s="2"/>
      <c r="P4252" s="2"/>
    </row>
    <row r="4253" spans="1:16" x14ac:dyDescent="0.25">
      <c r="A4253" s="2"/>
      <c r="B4253" s="2"/>
      <c r="F4253" s="1"/>
      <c r="G4253" s="1"/>
      <c r="I4253" s="1"/>
      <c r="J4253" s="1"/>
      <c r="L4253" s="1"/>
      <c r="M4253" s="1"/>
      <c r="O4253" s="2"/>
      <c r="P4253" s="2"/>
    </row>
    <row r="4254" spans="1:16" x14ac:dyDescent="0.25">
      <c r="A4254" s="2"/>
      <c r="B4254" s="2"/>
      <c r="F4254" s="1"/>
      <c r="G4254" s="1"/>
      <c r="I4254" s="1"/>
      <c r="J4254" s="1"/>
      <c r="L4254" s="1"/>
      <c r="M4254" s="1"/>
      <c r="O4254" s="2"/>
      <c r="P4254" s="2"/>
    </row>
    <row r="4255" spans="1:16" x14ac:dyDescent="0.25">
      <c r="A4255" s="2"/>
      <c r="B4255" s="2"/>
      <c r="F4255" s="1"/>
      <c r="G4255" s="1"/>
      <c r="I4255" s="1"/>
      <c r="J4255" s="1"/>
      <c r="L4255" s="1"/>
      <c r="M4255" s="1"/>
      <c r="O4255" s="2"/>
      <c r="P4255" s="2"/>
    </row>
    <row r="4256" spans="1:16" x14ac:dyDescent="0.25">
      <c r="A4256" s="2"/>
      <c r="B4256" s="2"/>
      <c r="F4256" s="1"/>
      <c r="G4256" s="1"/>
      <c r="I4256" s="1"/>
      <c r="J4256" s="1"/>
      <c r="L4256" s="1"/>
      <c r="M4256" s="1"/>
      <c r="O4256" s="2"/>
      <c r="P4256" s="2"/>
    </row>
    <row r="4257" spans="1:16" x14ac:dyDescent="0.25">
      <c r="A4257" s="2"/>
      <c r="B4257" s="2"/>
      <c r="F4257" s="1"/>
      <c r="G4257" s="1"/>
      <c r="I4257" s="1"/>
      <c r="J4257" s="1"/>
      <c r="L4257" s="1"/>
      <c r="M4257" s="1"/>
      <c r="O4257" s="2"/>
      <c r="P4257" s="2"/>
    </row>
    <row r="4258" spans="1:16" x14ac:dyDescent="0.25">
      <c r="A4258" s="2"/>
      <c r="B4258" s="2"/>
      <c r="F4258" s="1"/>
      <c r="G4258" s="1"/>
      <c r="I4258" s="1"/>
      <c r="J4258" s="1"/>
      <c r="L4258" s="1"/>
      <c r="M4258" s="1"/>
      <c r="O4258" s="2"/>
      <c r="P4258" s="2"/>
    </row>
    <row r="4259" spans="1:16" x14ac:dyDescent="0.25">
      <c r="A4259" s="2"/>
      <c r="B4259" s="2"/>
      <c r="F4259" s="1"/>
      <c r="G4259" s="1"/>
      <c r="I4259" s="1"/>
      <c r="J4259" s="1"/>
      <c r="L4259" s="1"/>
      <c r="M4259" s="1"/>
      <c r="O4259" s="2"/>
      <c r="P4259" s="2"/>
    </row>
    <row r="4260" spans="1:16" x14ac:dyDescent="0.25">
      <c r="A4260" s="2"/>
      <c r="B4260" s="2"/>
      <c r="F4260" s="1"/>
      <c r="G4260" s="1"/>
      <c r="I4260" s="1"/>
      <c r="J4260" s="1"/>
      <c r="L4260" s="1"/>
      <c r="M4260" s="1"/>
      <c r="O4260" s="2"/>
      <c r="P4260" s="2"/>
    </row>
    <row r="4261" spans="1:16" x14ac:dyDescent="0.25">
      <c r="A4261" s="2"/>
      <c r="B4261" s="2"/>
      <c r="F4261" s="1"/>
      <c r="G4261" s="1"/>
      <c r="I4261" s="1"/>
      <c r="J4261" s="1"/>
      <c r="L4261" s="1"/>
      <c r="M4261" s="1"/>
      <c r="O4261" s="2"/>
      <c r="P4261" s="2"/>
    </row>
    <row r="4262" spans="1:16" x14ac:dyDescent="0.25">
      <c r="A4262" s="2"/>
      <c r="B4262" s="2"/>
      <c r="F4262" s="1"/>
      <c r="G4262" s="1"/>
      <c r="I4262" s="1"/>
      <c r="J4262" s="1"/>
      <c r="L4262" s="1"/>
      <c r="M4262" s="1"/>
      <c r="O4262" s="2"/>
      <c r="P4262" s="2"/>
    </row>
    <row r="4263" spans="1:16" x14ac:dyDescent="0.25">
      <c r="A4263" s="2"/>
      <c r="B4263" s="2"/>
      <c r="F4263" s="1"/>
      <c r="G4263" s="1"/>
      <c r="I4263" s="1"/>
      <c r="J4263" s="1"/>
      <c r="L4263" s="1"/>
      <c r="M4263" s="1"/>
      <c r="O4263" s="2"/>
      <c r="P4263" s="2"/>
    </row>
    <row r="4264" spans="1:16" x14ac:dyDescent="0.25">
      <c r="A4264" s="2"/>
      <c r="B4264" s="2"/>
      <c r="F4264" s="1"/>
      <c r="G4264" s="1"/>
      <c r="I4264" s="1"/>
      <c r="J4264" s="1"/>
      <c r="L4264" s="1"/>
      <c r="M4264" s="1"/>
      <c r="O4264" s="2"/>
      <c r="P4264" s="2"/>
    </row>
    <row r="4265" spans="1:16" x14ac:dyDescent="0.25">
      <c r="A4265" s="2"/>
      <c r="B4265" s="2"/>
      <c r="F4265" s="1"/>
      <c r="G4265" s="1"/>
      <c r="I4265" s="1"/>
      <c r="J4265" s="1"/>
      <c r="L4265" s="1"/>
      <c r="M4265" s="1"/>
      <c r="O4265" s="2"/>
      <c r="P4265" s="2"/>
    </row>
    <row r="4266" spans="1:16" x14ac:dyDescent="0.25">
      <c r="A4266" s="2"/>
      <c r="B4266" s="2"/>
      <c r="F4266" s="1"/>
      <c r="G4266" s="1"/>
      <c r="I4266" s="1"/>
      <c r="J4266" s="1"/>
      <c r="L4266" s="1"/>
      <c r="M4266" s="1"/>
      <c r="O4266" s="2"/>
      <c r="P4266" s="2"/>
    </row>
    <row r="4267" spans="1:16" x14ac:dyDescent="0.25">
      <c r="A4267" s="2"/>
      <c r="B4267" s="2"/>
      <c r="F4267" s="1"/>
      <c r="G4267" s="1"/>
      <c r="I4267" s="1"/>
      <c r="J4267" s="1"/>
      <c r="L4267" s="1"/>
      <c r="M4267" s="1"/>
      <c r="O4267" s="2"/>
      <c r="P4267" s="2"/>
    </row>
    <row r="4268" spans="1:16" x14ac:dyDescent="0.25">
      <c r="A4268" s="2"/>
      <c r="B4268" s="2"/>
      <c r="F4268" s="1"/>
      <c r="G4268" s="1"/>
      <c r="I4268" s="1"/>
      <c r="J4268" s="1"/>
      <c r="L4268" s="1"/>
      <c r="M4268" s="1"/>
      <c r="O4268" s="2"/>
      <c r="P4268" s="2"/>
    </row>
    <row r="4269" spans="1:16" x14ac:dyDescent="0.25">
      <c r="A4269" s="2"/>
      <c r="B4269" s="2"/>
      <c r="F4269" s="1"/>
      <c r="G4269" s="1"/>
      <c r="I4269" s="1"/>
      <c r="J4269" s="1"/>
      <c r="L4269" s="1"/>
      <c r="M4269" s="1"/>
      <c r="O4269" s="2"/>
      <c r="P4269" s="2"/>
    </row>
    <row r="4270" spans="1:16" x14ac:dyDescent="0.25">
      <c r="A4270" s="2"/>
      <c r="B4270" s="2"/>
      <c r="F4270" s="1"/>
      <c r="G4270" s="1"/>
      <c r="I4270" s="1"/>
      <c r="J4270" s="1"/>
      <c r="L4270" s="1"/>
      <c r="M4270" s="1"/>
      <c r="O4270" s="2"/>
      <c r="P4270" s="2"/>
    </row>
    <row r="4271" spans="1:16" x14ac:dyDescent="0.25">
      <c r="A4271" s="2"/>
      <c r="B4271" s="2"/>
      <c r="F4271" s="1"/>
      <c r="G4271" s="1"/>
      <c r="I4271" s="1"/>
      <c r="J4271" s="1"/>
      <c r="L4271" s="1"/>
      <c r="M4271" s="1"/>
      <c r="O4271" s="2"/>
      <c r="P4271" s="2"/>
    </row>
    <row r="4272" spans="1:16" x14ac:dyDescent="0.25">
      <c r="A4272" s="2"/>
      <c r="B4272" s="2"/>
      <c r="F4272" s="1"/>
      <c r="G4272" s="1"/>
      <c r="I4272" s="1"/>
      <c r="J4272" s="1"/>
      <c r="L4272" s="1"/>
      <c r="M4272" s="1"/>
      <c r="O4272" s="2"/>
      <c r="P4272" s="2"/>
    </row>
    <row r="4273" spans="1:16" x14ac:dyDescent="0.25">
      <c r="A4273" s="2"/>
      <c r="B4273" s="2"/>
      <c r="F4273" s="1"/>
      <c r="G4273" s="1"/>
      <c r="I4273" s="1"/>
      <c r="J4273" s="1"/>
      <c r="L4273" s="1"/>
      <c r="M4273" s="1"/>
      <c r="O4273" s="2"/>
      <c r="P4273" s="2"/>
    </row>
    <row r="4274" spans="1:16" x14ac:dyDescent="0.25">
      <c r="A4274" s="2"/>
      <c r="B4274" s="2"/>
      <c r="F4274" s="1"/>
      <c r="G4274" s="1"/>
      <c r="I4274" s="1"/>
      <c r="J4274" s="1"/>
      <c r="L4274" s="1"/>
      <c r="M4274" s="1"/>
      <c r="O4274" s="2"/>
      <c r="P4274" s="2"/>
    </row>
    <row r="4275" spans="1:16" x14ac:dyDescent="0.25">
      <c r="A4275" s="2"/>
      <c r="B4275" s="2"/>
      <c r="F4275" s="1"/>
      <c r="G4275" s="1"/>
      <c r="I4275" s="1"/>
      <c r="J4275" s="1"/>
      <c r="L4275" s="1"/>
      <c r="M4275" s="1"/>
      <c r="O4275" s="2"/>
      <c r="P4275" s="2"/>
    </row>
    <row r="4276" spans="1:16" x14ac:dyDescent="0.25">
      <c r="A4276" s="2"/>
      <c r="B4276" s="2"/>
      <c r="F4276" s="1"/>
      <c r="G4276" s="1"/>
      <c r="I4276" s="1"/>
      <c r="J4276" s="1"/>
      <c r="L4276" s="1"/>
      <c r="M4276" s="1"/>
      <c r="O4276" s="2"/>
      <c r="P4276" s="2"/>
    </row>
    <row r="4277" spans="1:16" x14ac:dyDescent="0.25">
      <c r="A4277" s="2"/>
      <c r="B4277" s="2"/>
      <c r="F4277" s="1"/>
      <c r="G4277" s="1"/>
      <c r="I4277" s="1"/>
      <c r="J4277" s="1"/>
      <c r="L4277" s="1"/>
      <c r="M4277" s="1"/>
      <c r="O4277" s="2"/>
      <c r="P4277" s="2"/>
    </row>
    <row r="4278" spans="1:16" x14ac:dyDescent="0.25">
      <c r="A4278" s="2"/>
      <c r="B4278" s="2"/>
      <c r="F4278" s="1"/>
      <c r="G4278" s="1"/>
      <c r="I4278" s="1"/>
      <c r="J4278" s="1"/>
      <c r="L4278" s="1"/>
      <c r="M4278" s="1"/>
      <c r="O4278" s="2"/>
      <c r="P4278" s="2"/>
    </row>
    <row r="4279" spans="1:16" x14ac:dyDescent="0.25">
      <c r="A4279" s="2"/>
      <c r="B4279" s="2"/>
      <c r="F4279" s="1"/>
      <c r="G4279" s="1"/>
      <c r="I4279" s="1"/>
      <c r="J4279" s="1"/>
      <c r="L4279" s="1"/>
      <c r="M4279" s="1"/>
      <c r="O4279" s="2"/>
      <c r="P4279" s="2"/>
    </row>
    <row r="4280" spans="1:16" x14ac:dyDescent="0.25">
      <c r="A4280" s="2"/>
      <c r="B4280" s="2"/>
      <c r="F4280" s="1"/>
      <c r="G4280" s="1"/>
      <c r="I4280" s="1"/>
      <c r="J4280" s="1"/>
      <c r="L4280" s="1"/>
      <c r="M4280" s="1"/>
      <c r="O4280" s="2"/>
      <c r="P4280" s="2"/>
    </row>
    <row r="4281" spans="1:16" x14ac:dyDescent="0.25">
      <c r="A4281" s="2"/>
      <c r="B4281" s="2"/>
      <c r="F4281" s="1"/>
      <c r="G4281" s="1"/>
      <c r="I4281" s="1"/>
      <c r="J4281" s="1"/>
      <c r="L4281" s="1"/>
      <c r="M4281" s="1"/>
      <c r="O4281" s="2"/>
      <c r="P4281" s="2"/>
    </row>
    <row r="4282" spans="1:16" x14ac:dyDescent="0.25">
      <c r="A4282" s="2"/>
      <c r="B4282" s="2"/>
      <c r="F4282" s="1"/>
      <c r="G4282" s="1"/>
      <c r="I4282" s="1"/>
      <c r="J4282" s="1"/>
      <c r="L4282" s="1"/>
      <c r="M4282" s="1"/>
      <c r="O4282" s="2"/>
      <c r="P4282" s="2"/>
    </row>
    <row r="4283" spans="1:16" x14ac:dyDescent="0.25">
      <c r="A4283" s="2"/>
      <c r="B4283" s="2"/>
      <c r="F4283" s="1"/>
      <c r="G4283" s="1"/>
      <c r="I4283" s="1"/>
      <c r="J4283" s="1"/>
      <c r="L4283" s="1"/>
      <c r="M4283" s="1"/>
      <c r="O4283" s="2"/>
      <c r="P4283" s="2"/>
    </row>
    <row r="4284" spans="1:16" x14ac:dyDescent="0.25">
      <c r="A4284" s="2"/>
      <c r="B4284" s="2"/>
      <c r="F4284" s="1"/>
      <c r="G4284" s="1"/>
      <c r="I4284" s="1"/>
      <c r="J4284" s="1"/>
      <c r="L4284" s="1"/>
      <c r="M4284" s="1"/>
      <c r="O4284" s="2"/>
      <c r="P4284" s="2"/>
    </row>
    <row r="4285" spans="1:16" x14ac:dyDescent="0.25">
      <c r="A4285" s="2"/>
      <c r="B4285" s="2"/>
      <c r="F4285" s="1"/>
      <c r="G4285" s="1"/>
      <c r="I4285" s="1"/>
      <c r="J4285" s="1"/>
      <c r="L4285" s="1"/>
      <c r="M4285" s="1"/>
      <c r="O4285" s="2"/>
      <c r="P4285" s="2"/>
    </row>
    <row r="4286" spans="1:16" x14ac:dyDescent="0.25">
      <c r="A4286" s="2"/>
      <c r="B4286" s="2"/>
      <c r="F4286" s="1"/>
      <c r="G4286" s="1"/>
      <c r="I4286" s="1"/>
      <c r="J4286" s="1"/>
      <c r="L4286" s="1"/>
      <c r="M4286" s="1"/>
      <c r="O4286" s="2"/>
      <c r="P4286" s="2"/>
    </row>
    <row r="4287" spans="1:16" x14ac:dyDescent="0.25">
      <c r="A4287" s="2"/>
      <c r="B4287" s="2"/>
      <c r="F4287" s="1"/>
      <c r="G4287" s="1"/>
      <c r="I4287" s="1"/>
      <c r="J4287" s="1"/>
      <c r="L4287" s="1"/>
      <c r="M4287" s="1"/>
      <c r="O4287" s="2"/>
      <c r="P4287" s="2"/>
    </row>
    <row r="4288" spans="1:16" x14ac:dyDescent="0.25">
      <c r="A4288" s="2"/>
      <c r="B4288" s="2"/>
      <c r="F4288" s="1"/>
      <c r="G4288" s="1"/>
      <c r="I4288" s="1"/>
      <c r="J4288" s="1"/>
      <c r="L4288" s="1"/>
      <c r="M4288" s="1"/>
      <c r="O4288" s="2"/>
      <c r="P4288" s="2"/>
    </row>
    <row r="4289" spans="1:16" x14ac:dyDescent="0.25">
      <c r="A4289" s="2"/>
      <c r="B4289" s="2"/>
      <c r="F4289" s="1"/>
      <c r="G4289" s="1"/>
      <c r="I4289" s="1"/>
      <c r="J4289" s="1"/>
      <c r="L4289" s="1"/>
      <c r="M4289" s="1"/>
      <c r="O4289" s="2"/>
      <c r="P4289" s="2"/>
    </row>
    <row r="4290" spans="1:16" x14ac:dyDescent="0.25">
      <c r="A4290" s="2"/>
      <c r="B4290" s="2"/>
      <c r="F4290" s="1"/>
      <c r="G4290" s="1"/>
      <c r="I4290" s="1"/>
      <c r="J4290" s="1"/>
      <c r="L4290" s="1"/>
      <c r="M4290" s="1"/>
      <c r="O4290" s="2"/>
      <c r="P4290" s="2"/>
    </row>
    <row r="4291" spans="1:16" x14ac:dyDescent="0.25">
      <c r="A4291" s="2"/>
      <c r="B4291" s="2"/>
      <c r="F4291" s="1"/>
      <c r="G4291" s="1"/>
      <c r="I4291" s="1"/>
      <c r="J4291" s="1"/>
      <c r="L4291" s="1"/>
      <c r="M4291" s="1"/>
      <c r="O4291" s="2"/>
      <c r="P4291" s="2"/>
    </row>
    <row r="4292" spans="1:16" x14ac:dyDescent="0.25">
      <c r="A4292" s="2"/>
      <c r="B4292" s="2"/>
      <c r="F4292" s="1"/>
      <c r="G4292" s="1"/>
      <c r="I4292" s="1"/>
      <c r="J4292" s="1"/>
      <c r="L4292" s="1"/>
      <c r="M4292" s="1"/>
      <c r="O4292" s="2"/>
      <c r="P4292" s="2"/>
    </row>
    <row r="4293" spans="1:16" x14ac:dyDescent="0.25">
      <c r="A4293" s="2"/>
      <c r="B4293" s="2"/>
      <c r="F4293" s="1"/>
      <c r="G4293" s="1"/>
      <c r="I4293" s="1"/>
      <c r="J4293" s="1"/>
      <c r="L4293" s="1"/>
      <c r="M4293" s="1"/>
      <c r="O4293" s="2"/>
      <c r="P4293" s="2"/>
    </row>
    <row r="4294" spans="1:16" x14ac:dyDescent="0.25">
      <c r="A4294" s="2"/>
      <c r="B4294" s="2"/>
      <c r="F4294" s="1"/>
      <c r="G4294" s="1"/>
      <c r="I4294" s="1"/>
      <c r="J4294" s="1"/>
      <c r="L4294" s="1"/>
      <c r="M4294" s="1"/>
      <c r="O4294" s="2"/>
      <c r="P4294" s="2"/>
    </row>
    <row r="4295" spans="1:16" x14ac:dyDescent="0.25">
      <c r="A4295" s="2"/>
      <c r="B4295" s="2"/>
      <c r="F4295" s="1"/>
      <c r="G4295" s="1"/>
      <c r="I4295" s="1"/>
      <c r="J4295" s="1"/>
      <c r="L4295" s="1"/>
      <c r="M4295" s="1"/>
      <c r="O4295" s="2"/>
      <c r="P4295" s="2"/>
    </row>
    <row r="4296" spans="1:16" x14ac:dyDescent="0.25">
      <c r="A4296" s="2"/>
      <c r="B4296" s="2"/>
      <c r="F4296" s="1"/>
      <c r="G4296" s="1"/>
      <c r="I4296" s="1"/>
      <c r="J4296" s="1"/>
      <c r="L4296" s="1"/>
      <c r="M4296" s="1"/>
      <c r="O4296" s="2"/>
      <c r="P4296" s="2"/>
    </row>
    <row r="4297" spans="1:16" x14ac:dyDescent="0.25">
      <c r="A4297" s="2"/>
      <c r="B4297" s="2"/>
      <c r="F4297" s="1"/>
      <c r="G4297" s="1"/>
      <c r="I4297" s="1"/>
      <c r="J4297" s="1"/>
      <c r="L4297" s="1"/>
      <c r="M4297" s="1"/>
      <c r="O4297" s="2"/>
      <c r="P4297" s="2"/>
    </row>
    <row r="4298" spans="1:16" x14ac:dyDescent="0.25">
      <c r="A4298" s="2"/>
      <c r="B4298" s="2"/>
      <c r="F4298" s="1"/>
      <c r="G4298" s="1"/>
      <c r="I4298" s="1"/>
      <c r="J4298" s="1"/>
      <c r="L4298" s="1"/>
      <c r="M4298" s="1"/>
      <c r="O4298" s="2"/>
      <c r="P4298" s="2"/>
    </row>
    <row r="4299" spans="1:16" x14ac:dyDescent="0.25">
      <c r="A4299" s="2"/>
      <c r="B4299" s="2"/>
      <c r="F4299" s="1"/>
      <c r="G4299" s="1"/>
      <c r="I4299" s="1"/>
      <c r="J4299" s="1"/>
      <c r="L4299" s="1"/>
      <c r="M4299" s="1"/>
      <c r="O4299" s="2"/>
      <c r="P4299" s="2"/>
    </row>
    <row r="4300" spans="1:16" x14ac:dyDescent="0.25">
      <c r="A4300" s="2"/>
      <c r="B4300" s="2"/>
      <c r="F4300" s="1"/>
      <c r="G4300" s="1"/>
      <c r="I4300" s="1"/>
      <c r="J4300" s="1"/>
      <c r="L4300" s="1"/>
      <c r="M4300" s="1"/>
      <c r="O4300" s="2"/>
      <c r="P4300" s="2"/>
    </row>
    <row r="4301" spans="1:16" x14ac:dyDescent="0.25">
      <c r="A4301" s="2"/>
      <c r="B4301" s="2"/>
      <c r="F4301" s="1"/>
      <c r="G4301" s="1"/>
      <c r="I4301" s="1"/>
      <c r="J4301" s="1"/>
      <c r="L4301" s="1"/>
      <c r="M4301" s="1"/>
      <c r="O4301" s="2"/>
      <c r="P4301" s="2"/>
    </row>
    <row r="4302" spans="1:16" x14ac:dyDescent="0.25">
      <c r="A4302" s="2"/>
      <c r="B4302" s="2"/>
      <c r="F4302" s="1"/>
      <c r="G4302" s="1"/>
      <c r="I4302" s="1"/>
      <c r="J4302" s="1"/>
      <c r="L4302" s="1"/>
      <c r="M4302" s="1"/>
      <c r="O4302" s="2"/>
      <c r="P4302" s="2"/>
    </row>
    <row r="4303" spans="1:16" x14ac:dyDescent="0.25">
      <c r="A4303" s="2"/>
      <c r="B4303" s="2"/>
      <c r="F4303" s="1"/>
      <c r="G4303" s="1"/>
      <c r="I4303" s="1"/>
      <c r="J4303" s="1"/>
      <c r="L4303" s="1"/>
      <c r="M4303" s="1"/>
      <c r="O4303" s="2"/>
      <c r="P4303" s="2"/>
    </row>
    <row r="4304" spans="1:16" x14ac:dyDescent="0.25">
      <c r="A4304" s="2"/>
      <c r="B4304" s="2"/>
      <c r="F4304" s="1"/>
      <c r="G4304" s="1"/>
      <c r="I4304" s="1"/>
      <c r="J4304" s="1"/>
      <c r="L4304" s="1"/>
      <c r="M4304" s="1"/>
      <c r="O4304" s="2"/>
      <c r="P4304" s="2"/>
    </row>
    <row r="4305" spans="1:16" x14ac:dyDescent="0.25">
      <c r="A4305" s="2"/>
      <c r="B4305" s="2"/>
      <c r="F4305" s="1"/>
      <c r="G4305" s="1"/>
      <c r="I4305" s="1"/>
      <c r="J4305" s="1"/>
      <c r="L4305" s="1"/>
      <c r="M4305" s="1"/>
      <c r="O4305" s="2"/>
      <c r="P4305" s="2"/>
    </row>
    <row r="4306" spans="1:16" x14ac:dyDescent="0.25">
      <c r="A4306" s="2"/>
      <c r="B4306" s="2"/>
      <c r="F4306" s="1"/>
      <c r="G4306" s="1"/>
      <c r="I4306" s="1"/>
      <c r="J4306" s="1"/>
      <c r="L4306" s="1"/>
      <c r="M4306" s="1"/>
      <c r="O4306" s="2"/>
      <c r="P4306" s="2"/>
    </row>
    <row r="4307" spans="1:16" x14ac:dyDescent="0.25">
      <c r="A4307" s="2"/>
      <c r="B4307" s="2"/>
      <c r="F4307" s="1"/>
      <c r="G4307" s="1"/>
      <c r="I4307" s="1"/>
      <c r="J4307" s="1"/>
      <c r="L4307" s="1"/>
      <c r="M4307" s="1"/>
      <c r="O4307" s="2"/>
      <c r="P4307" s="2"/>
    </row>
    <row r="4308" spans="1:16" x14ac:dyDescent="0.25">
      <c r="A4308" s="2"/>
      <c r="B4308" s="2"/>
      <c r="F4308" s="1"/>
      <c r="G4308" s="1"/>
      <c r="I4308" s="1"/>
      <c r="J4308" s="1"/>
      <c r="L4308" s="1"/>
      <c r="M4308" s="1"/>
      <c r="O4308" s="2"/>
      <c r="P4308" s="2"/>
    </row>
    <row r="4309" spans="1:16" x14ac:dyDescent="0.25">
      <c r="A4309" s="2"/>
      <c r="B4309" s="2"/>
      <c r="F4309" s="1"/>
      <c r="G4309" s="1"/>
      <c r="I4309" s="1"/>
      <c r="J4309" s="1"/>
      <c r="L4309" s="1"/>
      <c r="M4309" s="1"/>
      <c r="O4309" s="2"/>
      <c r="P4309" s="2"/>
    </row>
    <row r="4310" spans="1:16" x14ac:dyDescent="0.25">
      <c r="A4310" s="2"/>
      <c r="B4310" s="2"/>
      <c r="F4310" s="1"/>
      <c r="G4310" s="1"/>
      <c r="I4310" s="1"/>
      <c r="J4310" s="1"/>
      <c r="L4310" s="1"/>
      <c r="M4310" s="1"/>
      <c r="O4310" s="2"/>
      <c r="P4310" s="2"/>
    </row>
    <row r="4311" spans="1:16" x14ac:dyDescent="0.25">
      <c r="A4311" s="2"/>
      <c r="B4311" s="2"/>
      <c r="F4311" s="1"/>
      <c r="G4311" s="1"/>
      <c r="I4311" s="1"/>
      <c r="J4311" s="1"/>
      <c r="L4311" s="1"/>
      <c r="M4311" s="1"/>
      <c r="O4311" s="2"/>
      <c r="P4311" s="2"/>
    </row>
    <row r="4312" spans="1:16" x14ac:dyDescent="0.25">
      <c r="A4312" s="2"/>
      <c r="B4312" s="2"/>
      <c r="F4312" s="1"/>
      <c r="G4312" s="1"/>
      <c r="I4312" s="1"/>
      <c r="J4312" s="1"/>
      <c r="L4312" s="1"/>
      <c r="M4312" s="1"/>
      <c r="O4312" s="2"/>
      <c r="P4312" s="2"/>
    </row>
    <row r="4313" spans="1:16" x14ac:dyDescent="0.25">
      <c r="A4313" s="2"/>
      <c r="B4313" s="2"/>
      <c r="F4313" s="1"/>
      <c r="G4313" s="1"/>
      <c r="I4313" s="1"/>
      <c r="J4313" s="1"/>
      <c r="L4313" s="1"/>
      <c r="M4313" s="1"/>
      <c r="O4313" s="2"/>
      <c r="P4313" s="2"/>
    </row>
    <row r="4314" spans="1:16" x14ac:dyDescent="0.25">
      <c r="A4314" s="2"/>
      <c r="B4314" s="2"/>
      <c r="F4314" s="1"/>
      <c r="G4314" s="1"/>
      <c r="I4314" s="1"/>
      <c r="J4314" s="1"/>
      <c r="L4314" s="1"/>
      <c r="M4314" s="1"/>
      <c r="O4314" s="2"/>
      <c r="P4314" s="2"/>
    </row>
    <row r="4315" spans="1:16" x14ac:dyDescent="0.25">
      <c r="A4315" s="2"/>
      <c r="B4315" s="2"/>
      <c r="F4315" s="1"/>
      <c r="G4315" s="1"/>
      <c r="I4315" s="1"/>
      <c r="J4315" s="1"/>
      <c r="L4315" s="1"/>
      <c r="M4315" s="1"/>
      <c r="O4315" s="2"/>
      <c r="P4315" s="2"/>
    </row>
    <row r="4316" spans="1:16" x14ac:dyDescent="0.25">
      <c r="A4316" s="2"/>
      <c r="B4316" s="2"/>
      <c r="F4316" s="1"/>
      <c r="G4316" s="1"/>
      <c r="I4316" s="1"/>
      <c r="J4316" s="1"/>
      <c r="L4316" s="1"/>
      <c r="M4316" s="1"/>
      <c r="O4316" s="2"/>
      <c r="P4316" s="2"/>
    </row>
    <row r="4317" spans="1:16" x14ac:dyDescent="0.25">
      <c r="A4317" s="2"/>
      <c r="B4317" s="2"/>
      <c r="F4317" s="1"/>
      <c r="G4317" s="1"/>
      <c r="I4317" s="1"/>
      <c r="J4317" s="1"/>
      <c r="L4317" s="1"/>
      <c r="M4317" s="1"/>
      <c r="O4317" s="2"/>
      <c r="P4317" s="2"/>
    </row>
    <row r="4318" spans="1:16" x14ac:dyDescent="0.25">
      <c r="A4318" s="2"/>
      <c r="B4318" s="2"/>
      <c r="F4318" s="1"/>
      <c r="G4318" s="1"/>
      <c r="I4318" s="1"/>
      <c r="J4318" s="1"/>
      <c r="L4318" s="1"/>
      <c r="M4318" s="1"/>
      <c r="O4318" s="2"/>
      <c r="P4318" s="2"/>
    </row>
    <row r="4319" spans="1:16" x14ac:dyDescent="0.25">
      <c r="A4319" s="2"/>
      <c r="B4319" s="2"/>
      <c r="F4319" s="1"/>
      <c r="G4319" s="1"/>
      <c r="I4319" s="1"/>
      <c r="J4319" s="1"/>
      <c r="L4319" s="1"/>
      <c r="M4319" s="1"/>
      <c r="O4319" s="2"/>
      <c r="P4319" s="2"/>
    </row>
    <row r="4320" spans="1:16" x14ac:dyDescent="0.25">
      <c r="A4320" s="2"/>
      <c r="B4320" s="2"/>
      <c r="F4320" s="1"/>
      <c r="G4320" s="1"/>
      <c r="I4320" s="1"/>
      <c r="J4320" s="1"/>
      <c r="L4320" s="1"/>
      <c r="M4320" s="1"/>
      <c r="O4320" s="2"/>
      <c r="P4320" s="2"/>
    </row>
    <row r="4321" spans="1:16" x14ac:dyDescent="0.25">
      <c r="A4321" s="2"/>
      <c r="B4321" s="2"/>
      <c r="F4321" s="1"/>
      <c r="G4321" s="1"/>
      <c r="I4321" s="1"/>
      <c r="J4321" s="1"/>
      <c r="L4321" s="1"/>
      <c r="M4321" s="1"/>
      <c r="O4321" s="2"/>
      <c r="P4321" s="2"/>
    </row>
    <row r="4322" spans="1:16" x14ac:dyDescent="0.25">
      <c r="A4322" s="2"/>
      <c r="B4322" s="2"/>
      <c r="F4322" s="1"/>
      <c r="G4322" s="1"/>
      <c r="I4322" s="1"/>
      <c r="J4322" s="1"/>
      <c r="L4322" s="1"/>
      <c r="M4322" s="1"/>
      <c r="O4322" s="2"/>
      <c r="P4322" s="2"/>
    </row>
    <row r="4323" spans="1:16" x14ac:dyDescent="0.25">
      <c r="A4323" s="2"/>
      <c r="B4323" s="2"/>
      <c r="F4323" s="1"/>
      <c r="G4323" s="1"/>
      <c r="I4323" s="1"/>
      <c r="J4323" s="1"/>
      <c r="L4323" s="1"/>
      <c r="M4323" s="1"/>
      <c r="O4323" s="2"/>
      <c r="P4323" s="2"/>
    </row>
    <row r="4324" spans="1:16" x14ac:dyDescent="0.25">
      <c r="A4324" s="2"/>
      <c r="B4324" s="2"/>
      <c r="F4324" s="1"/>
      <c r="G4324" s="1"/>
      <c r="I4324" s="1"/>
      <c r="J4324" s="1"/>
      <c r="L4324" s="1"/>
      <c r="M4324" s="1"/>
      <c r="O4324" s="2"/>
      <c r="P4324" s="2"/>
    </row>
    <row r="4325" spans="1:16" x14ac:dyDescent="0.25">
      <c r="A4325" s="2"/>
      <c r="B4325" s="2"/>
      <c r="F4325" s="1"/>
      <c r="G4325" s="1"/>
      <c r="I4325" s="1"/>
      <c r="J4325" s="1"/>
      <c r="L4325" s="1"/>
      <c r="M4325" s="1"/>
      <c r="O4325" s="2"/>
      <c r="P4325" s="2"/>
    </row>
    <row r="4326" spans="1:16" x14ac:dyDescent="0.25">
      <c r="A4326" s="2"/>
      <c r="B4326" s="2"/>
      <c r="F4326" s="1"/>
      <c r="G4326" s="1"/>
      <c r="I4326" s="1"/>
      <c r="J4326" s="1"/>
      <c r="L4326" s="1"/>
      <c r="M4326" s="1"/>
      <c r="O4326" s="2"/>
      <c r="P4326" s="2"/>
    </row>
    <row r="4327" spans="1:16" x14ac:dyDescent="0.25">
      <c r="A4327" s="2"/>
      <c r="B4327" s="2"/>
      <c r="F4327" s="1"/>
      <c r="G4327" s="1"/>
      <c r="I4327" s="1"/>
      <c r="J4327" s="1"/>
      <c r="L4327" s="1"/>
      <c r="M4327" s="1"/>
      <c r="O4327" s="2"/>
      <c r="P4327" s="2"/>
    </row>
    <row r="4328" spans="1:16" x14ac:dyDescent="0.25">
      <c r="A4328" s="2"/>
      <c r="B4328" s="2"/>
      <c r="F4328" s="1"/>
      <c r="G4328" s="1"/>
      <c r="I4328" s="1"/>
      <c r="J4328" s="1"/>
      <c r="L4328" s="1"/>
      <c r="M4328" s="1"/>
      <c r="O4328" s="2"/>
      <c r="P4328" s="2"/>
    </row>
    <row r="4329" spans="1:16" x14ac:dyDescent="0.25">
      <c r="A4329" s="2"/>
      <c r="B4329" s="2"/>
      <c r="F4329" s="1"/>
      <c r="G4329" s="1"/>
      <c r="I4329" s="1"/>
      <c r="J4329" s="1"/>
      <c r="L4329" s="1"/>
      <c r="M4329" s="1"/>
      <c r="O4329" s="2"/>
      <c r="P4329" s="2"/>
    </row>
    <row r="4330" spans="1:16" x14ac:dyDescent="0.25">
      <c r="A4330" s="2"/>
      <c r="B4330" s="2"/>
      <c r="F4330" s="1"/>
      <c r="G4330" s="1"/>
      <c r="I4330" s="1"/>
      <c r="J4330" s="1"/>
      <c r="L4330" s="1"/>
      <c r="M4330" s="1"/>
      <c r="O4330" s="2"/>
      <c r="P4330" s="2"/>
    </row>
    <row r="4331" spans="1:16" x14ac:dyDescent="0.25">
      <c r="A4331" s="2"/>
      <c r="B4331" s="2"/>
      <c r="F4331" s="1"/>
      <c r="G4331" s="1"/>
      <c r="I4331" s="1"/>
      <c r="J4331" s="1"/>
      <c r="L4331" s="1"/>
      <c r="M4331" s="1"/>
      <c r="O4331" s="2"/>
      <c r="P4331" s="2"/>
    </row>
    <row r="4332" spans="1:16" x14ac:dyDescent="0.25">
      <c r="A4332" s="2"/>
      <c r="B4332" s="2"/>
      <c r="F4332" s="1"/>
      <c r="G4332" s="1"/>
      <c r="I4332" s="1"/>
      <c r="J4332" s="1"/>
      <c r="L4332" s="1"/>
      <c r="M4332" s="1"/>
      <c r="O4332" s="2"/>
      <c r="P4332" s="2"/>
    </row>
    <row r="4333" spans="1:16" x14ac:dyDescent="0.25">
      <c r="A4333" s="2"/>
      <c r="B4333" s="2"/>
      <c r="F4333" s="1"/>
      <c r="G4333" s="1"/>
      <c r="I4333" s="1"/>
      <c r="J4333" s="1"/>
      <c r="L4333" s="1"/>
      <c r="M4333" s="1"/>
      <c r="O4333" s="2"/>
      <c r="P4333" s="2"/>
    </row>
    <row r="4334" spans="1:16" x14ac:dyDescent="0.25">
      <c r="A4334" s="2"/>
      <c r="B4334" s="2"/>
      <c r="F4334" s="1"/>
      <c r="G4334" s="1"/>
      <c r="I4334" s="1"/>
      <c r="J4334" s="1"/>
      <c r="L4334" s="1"/>
      <c r="M4334" s="1"/>
      <c r="O4334" s="2"/>
      <c r="P4334" s="2"/>
    </row>
    <row r="4335" spans="1:16" x14ac:dyDescent="0.25">
      <c r="A4335" s="2"/>
      <c r="B4335" s="2"/>
      <c r="F4335" s="1"/>
      <c r="G4335" s="1"/>
      <c r="I4335" s="1"/>
      <c r="J4335" s="1"/>
      <c r="L4335" s="1"/>
      <c r="M4335" s="1"/>
      <c r="O4335" s="2"/>
      <c r="P4335" s="2"/>
    </row>
    <row r="4336" spans="1:16" x14ac:dyDescent="0.25">
      <c r="A4336" s="2"/>
      <c r="B4336" s="2"/>
      <c r="F4336" s="1"/>
      <c r="G4336" s="1"/>
      <c r="I4336" s="1"/>
      <c r="J4336" s="1"/>
      <c r="L4336" s="1"/>
      <c r="M4336" s="1"/>
      <c r="O4336" s="2"/>
      <c r="P4336" s="2"/>
    </row>
    <row r="4337" spans="1:16" x14ac:dyDescent="0.25">
      <c r="A4337" s="2"/>
      <c r="B4337" s="2"/>
      <c r="F4337" s="1"/>
      <c r="G4337" s="1"/>
      <c r="I4337" s="1"/>
      <c r="J4337" s="1"/>
      <c r="L4337" s="1"/>
      <c r="M4337" s="1"/>
      <c r="O4337" s="2"/>
      <c r="P4337" s="2"/>
    </row>
    <row r="4338" spans="1:16" x14ac:dyDescent="0.25">
      <c r="A4338" s="2"/>
      <c r="B4338" s="2"/>
      <c r="F4338" s="1"/>
      <c r="G4338" s="1"/>
      <c r="I4338" s="1"/>
      <c r="J4338" s="1"/>
      <c r="L4338" s="1"/>
      <c r="M4338" s="1"/>
      <c r="O4338" s="2"/>
      <c r="P4338" s="2"/>
    </row>
    <row r="4339" spans="1:16" x14ac:dyDescent="0.25">
      <c r="A4339" s="2"/>
      <c r="B4339" s="2"/>
      <c r="F4339" s="1"/>
      <c r="G4339" s="1"/>
      <c r="I4339" s="1"/>
      <c r="J4339" s="1"/>
      <c r="L4339" s="1"/>
      <c r="M4339" s="1"/>
      <c r="O4339" s="2"/>
      <c r="P4339" s="2"/>
    </row>
    <row r="4340" spans="1:16" x14ac:dyDescent="0.25">
      <c r="A4340" s="2"/>
      <c r="B4340" s="2"/>
      <c r="F4340" s="1"/>
      <c r="G4340" s="1"/>
      <c r="I4340" s="1"/>
      <c r="J4340" s="1"/>
      <c r="L4340" s="1"/>
      <c r="M4340" s="1"/>
      <c r="O4340" s="2"/>
      <c r="P4340" s="2"/>
    </row>
    <row r="4341" spans="1:16" x14ac:dyDescent="0.25">
      <c r="A4341" s="2"/>
      <c r="B4341" s="2"/>
      <c r="F4341" s="1"/>
      <c r="G4341" s="1"/>
      <c r="I4341" s="1"/>
      <c r="J4341" s="1"/>
      <c r="L4341" s="1"/>
      <c r="M4341" s="1"/>
      <c r="O4341" s="2"/>
      <c r="P4341" s="2"/>
    </row>
    <row r="4342" spans="1:16" x14ac:dyDescent="0.25">
      <c r="A4342" s="2"/>
      <c r="B4342" s="2"/>
      <c r="F4342" s="1"/>
      <c r="G4342" s="1"/>
      <c r="I4342" s="1"/>
      <c r="J4342" s="1"/>
      <c r="L4342" s="1"/>
      <c r="M4342" s="1"/>
      <c r="O4342" s="2"/>
      <c r="P4342" s="2"/>
    </row>
    <row r="4343" spans="1:16" x14ac:dyDescent="0.25">
      <c r="A4343" s="2"/>
      <c r="B4343" s="2"/>
      <c r="F4343" s="1"/>
      <c r="G4343" s="1"/>
      <c r="I4343" s="1"/>
      <c r="J4343" s="1"/>
      <c r="L4343" s="1"/>
      <c r="M4343" s="1"/>
      <c r="O4343" s="2"/>
      <c r="P4343" s="2"/>
    </row>
    <row r="4344" spans="1:16" x14ac:dyDescent="0.25">
      <c r="A4344" s="2"/>
      <c r="B4344" s="2"/>
      <c r="F4344" s="1"/>
      <c r="G4344" s="1"/>
      <c r="I4344" s="1"/>
      <c r="J4344" s="1"/>
      <c r="L4344" s="1"/>
      <c r="M4344" s="1"/>
      <c r="O4344" s="2"/>
      <c r="P4344" s="2"/>
    </row>
    <row r="4345" spans="1:16" x14ac:dyDescent="0.25">
      <c r="A4345" s="2"/>
      <c r="B4345" s="2"/>
      <c r="F4345" s="1"/>
      <c r="G4345" s="1"/>
      <c r="I4345" s="1"/>
      <c r="J4345" s="1"/>
      <c r="L4345" s="1"/>
      <c r="M4345" s="1"/>
      <c r="O4345" s="2"/>
      <c r="P4345" s="2"/>
    </row>
    <row r="4346" spans="1:16" x14ac:dyDescent="0.25">
      <c r="A4346" s="2"/>
      <c r="B4346" s="2"/>
      <c r="F4346" s="1"/>
      <c r="G4346" s="1"/>
      <c r="I4346" s="1"/>
      <c r="J4346" s="1"/>
      <c r="L4346" s="1"/>
      <c r="M4346" s="1"/>
      <c r="O4346" s="2"/>
      <c r="P4346" s="2"/>
    </row>
    <row r="4347" spans="1:16" x14ac:dyDescent="0.25">
      <c r="A4347" s="2"/>
      <c r="B4347" s="2"/>
      <c r="F4347" s="1"/>
      <c r="G4347" s="1"/>
      <c r="I4347" s="1"/>
      <c r="J4347" s="1"/>
      <c r="L4347" s="1"/>
      <c r="M4347" s="1"/>
      <c r="O4347" s="2"/>
      <c r="P4347" s="2"/>
    </row>
    <row r="4348" spans="1:16" x14ac:dyDescent="0.25">
      <c r="A4348" s="2"/>
      <c r="B4348" s="2"/>
      <c r="F4348" s="1"/>
      <c r="G4348" s="1"/>
      <c r="I4348" s="1"/>
      <c r="J4348" s="1"/>
      <c r="L4348" s="1"/>
      <c r="M4348" s="1"/>
      <c r="O4348" s="2"/>
      <c r="P4348" s="2"/>
    </row>
    <row r="4349" spans="1:16" x14ac:dyDescent="0.25">
      <c r="A4349" s="2"/>
      <c r="B4349" s="2"/>
      <c r="F4349" s="1"/>
      <c r="G4349" s="1"/>
      <c r="I4349" s="1"/>
      <c r="J4349" s="1"/>
      <c r="L4349" s="1"/>
      <c r="M4349" s="1"/>
      <c r="O4349" s="2"/>
      <c r="P4349" s="2"/>
    </row>
    <row r="4350" spans="1:16" x14ac:dyDescent="0.25">
      <c r="A4350" s="2"/>
      <c r="B4350" s="2"/>
      <c r="F4350" s="1"/>
      <c r="G4350" s="1"/>
      <c r="I4350" s="1"/>
      <c r="J4350" s="1"/>
      <c r="L4350" s="1"/>
      <c r="M4350" s="1"/>
      <c r="O4350" s="2"/>
      <c r="P4350" s="2"/>
    </row>
    <row r="4351" spans="1:16" x14ac:dyDescent="0.25">
      <c r="A4351" s="2"/>
      <c r="B4351" s="2"/>
      <c r="F4351" s="1"/>
      <c r="G4351" s="1"/>
      <c r="I4351" s="1"/>
      <c r="J4351" s="1"/>
      <c r="L4351" s="1"/>
      <c r="M4351" s="1"/>
      <c r="O4351" s="2"/>
      <c r="P4351" s="2"/>
    </row>
    <row r="4352" spans="1:16" x14ac:dyDescent="0.25">
      <c r="A4352" s="2"/>
      <c r="B4352" s="2"/>
      <c r="F4352" s="1"/>
      <c r="G4352" s="1"/>
      <c r="I4352" s="1"/>
      <c r="J4352" s="1"/>
      <c r="L4352" s="1"/>
      <c r="M4352" s="1"/>
      <c r="O4352" s="2"/>
      <c r="P4352" s="2"/>
    </row>
    <row r="4353" spans="1:16" x14ac:dyDescent="0.25">
      <c r="A4353" s="2"/>
      <c r="B4353" s="2"/>
      <c r="F4353" s="1"/>
      <c r="G4353" s="1"/>
      <c r="I4353" s="1"/>
      <c r="J4353" s="1"/>
      <c r="L4353" s="1"/>
      <c r="M4353" s="1"/>
      <c r="O4353" s="2"/>
      <c r="P4353" s="2"/>
    </row>
    <row r="4354" spans="1:16" x14ac:dyDescent="0.25">
      <c r="A4354" s="2"/>
      <c r="B4354" s="2"/>
      <c r="F4354" s="1"/>
      <c r="G4354" s="1"/>
      <c r="I4354" s="1"/>
      <c r="J4354" s="1"/>
      <c r="L4354" s="1"/>
      <c r="M4354" s="1"/>
      <c r="O4354" s="2"/>
      <c r="P4354" s="2"/>
    </row>
    <row r="4355" spans="1:16" x14ac:dyDescent="0.25">
      <c r="A4355" s="2"/>
      <c r="B4355" s="2"/>
      <c r="F4355" s="1"/>
      <c r="G4355" s="1"/>
      <c r="I4355" s="1"/>
      <c r="J4355" s="1"/>
      <c r="L4355" s="1"/>
      <c r="M4355" s="1"/>
      <c r="O4355" s="2"/>
      <c r="P4355" s="2"/>
    </row>
    <row r="4356" spans="1:16" x14ac:dyDescent="0.25">
      <c r="A4356" s="2"/>
      <c r="B4356" s="2"/>
      <c r="F4356" s="1"/>
      <c r="G4356" s="1"/>
      <c r="I4356" s="1"/>
      <c r="J4356" s="1"/>
      <c r="L4356" s="1"/>
      <c r="M4356" s="1"/>
      <c r="O4356" s="2"/>
      <c r="P4356" s="2"/>
    </row>
    <row r="4357" spans="1:16" x14ac:dyDescent="0.25">
      <c r="A4357" s="2"/>
      <c r="B4357" s="2"/>
      <c r="F4357" s="1"/>
      <c r="G4357" s="1"/>
      <c r="I4357" s="1"/>
      <c r="J4357" s="1"/>
      <c r="L4357" s="1"/>
      <c r="M4357" s="1"/>
      <c r="O4357" s="2"/>
      <c r="P4357" s="2"/>
    </row>
    <row r="4358" spans="1:16" x14ac:dyDescent="0.25">
      <c r="A4358" s="2"/>
      <c r="B4358" s="2"/>
      <c r="F4358" s="1"/>
      <c r="G4358" s="1"/>
      <c r="I4358" s="1"/>
      <c r="J4358" s="1"/>
      <c r="L4358" s="1"/>
      <c r="M4358" s="1"/>
      <c r="O4358" s="2"/>
      <c r="P4358" s="2"/>
    </row>
    <row r="4359" spans="1:16" x14ac:dyDescent="0.25">
      <c r="A4359" s="2"/>
      <c r="B4359" s="2"/>
      <c r="F4359" s="1"/>
      <c r="G4359" s="1"/>
      <c r="I4359" s="1"/>
      <c r="J4359" s="1"/>
      <c r="L4359" s="1"/>
      <c r="M4359" s="1"/>
      <c r="O4359" s="2"/>
      <c r="P4359" s="2"/>
    </row>
    <row r="4360" spans="1:16" x14ac:dyDescent="0.25">
      <c r="A4360" s="2"/>
      <c r="B4360" s="2"/>
      <c r="F4360" s="1"/>
      <c r="G4360" s="1"/>
      <c r="I4360" s="1"/>
      <c r="J4360" s="1"/>
      <c r="L4360" s="1"/>
      <c r="M4360" s="1"/>
      <c r="O4360" s="2"/>
      <c r="P4360" s="2"/>
    </row>
    <row r="4361" spans="1:16" x14ac:dyDescent="0.25">
      <c r="A4361" s="2"/>
      <c r="B4361" s="2"/>
      <c r="F4361" s="1"/>
      <c r="G4361" s="1"/>
      <c r="I4361" s="1"/>
      <c r="J4361" s="1"/>
      <c r="L4361" s="1"/>
      <c r="M4361" s="1"/>
      <c r="O4361" s="2"/>
      <c r="P4361" s="2"/>
    </row>
    <row r="4362" spans="1:16" x14ac:dyDescent="0.25">
      <c r="A4362" s="2"/>
      <c r="B4362" s="2"/>
      <c r="F4362" s="1"/>
      <c r="G4362" s="1"/>
      <c r="I4362" s="1"/>
      <c r="J4362" s="1"/>
      <c r="L4362" s="1"/>
      <c r="M4362" s="1"/>
      <c r="O4362" s="2"/>
      <c r="P4362" s="2"/>
    </row>
    <row r="4363" spans="1:16" x14ac:dyDescent="0.25">
      <c r="A4363" s="2"/>
      <c r="B4363" s="2"/>
      <c r="F4363" s="1"/>
      <c r="G4363" s="1"/>
      <c r="I4363" s="1"/>
      <c r="J4363" s="1"/>
      <c r="L4363" s="1"/>
      <c r="M4363" s="1"/>
      <c r="O4363" s="2"/>
      <c r="P4363" s="2"/>
    </row>
    <row r="4364" spans="1:16" x14ac:dyDescent="0.25">
      <c r="A4364" s="2"/>
      <c r="B4364" s="2"/>
      <c r="F4364" s="1"/>
      <c r="G4364" s="1"/>
      <c r="I4364" s="1"/>
      <c r="J4364" s="1"/>
      <c r="L4364" s="1"/>
      <c r="M4364" s="1"/>
      <c r="O4364" s="2"/>
      <c r="P4364" s="2"/>
    </row>
    <row r="4365" spans="1:16" x14ac:dyDescent="0.25">
      <c r="A4365" s="2"/>
      <c r="B4365" s="2"/>
      <c r="F4365" s="1"/>
      <c r="G4365" s="1"/>
      <c r="I4365" s="1"/>
      <c r="J4365" s="1"/>
      <c r="L4365" s="1"/>
      <c r="M4365" s="1"/>
      <c r="O4365" s="2"/>
      <c r="P4365" s="2"/>
    </row>
    <row r="4366" spans="1:16" x14ac:dyDescent="0.25">
      <c r="A4366" s="2"/>
      <c r="B4366" s="2"/>
      <c r="F4366" s="1"/>
      <c r="G4366" s="1"/>
      <c r="I4366" s="1"/>
      <c r="J4366" s="1"/>
      <c r="L4366" s="1"/>
      <c r="M4366" s="1"/>
      <c r="O4366" s="2"/>
      <c r="P4366" s="2"/>
    </row>
    <row r="4367" spans="1:16" x14ac:dyDescent="0.25">
      <c r="A4367" s="2"/>
      <c r="B4367" s="2"/>
      <c r="F4367" s="1"/>
      <c r="G4367" s="1"/>
      <c r="I4367" s="1"/>
      <c r="J4367" s="1"/>
      <c r="L4367" s="1"/>
      <c r="M4367" s="1"/>
      <c r="O4367" s="2"/>
      <c r="P4367" s="2"/>
    </row>
    <row r="4368" spans="1:16" x14ac:dyDescent="0.25">
      <c r="A4368" s="2"/>
      <c r="B4368" s="2"/>
      <c r="F4368" s="1"/>
      <c r="G4368" s="1"/>
      <c r="I4368" s="1"/>
      <c r="J4368" s="1"/>
      <c r="L4368" s="1"/>
      <c r="M4368" s="1"/>
      <c r="O4368" s="2"/>
      <c r="P4368" s="2"/>
    </row>
    <row r="4369" spans="1:16" x14ac:dyDescent="0.25">
      <c r="A4369" s="2"/>
      <c r="B4369" s="2"/>
      <c r="F4369" s="1"/>
      <c r="G4369" s="1"/>
      <c r="I4369" s="1"/>
      <c r="J4369" s="1"/>
      <c r="L4369" s="1"/>
      <c r="M4369" s="1"/>
      <c r="O4369" s="2"/>
      <c r="P4369" s="2"/>
    </row>
    <row r="4370" spans="1:16" x14ac:dyDescent="0.25">
      <c r="A4370" s="2"/>
      <c r="B4370" s="2"/>
      <c r="F4370" s="1"/>
      <c r="G4370" s="1"/>
      <c r="I4370" s="1"/>
      <c r="J4370" s="1"/>
      <c r="L4370" s="1"/>
      <c r="M4370" s="1"/>
      <c r="O4370" s="2"/>
      <c r="P4370" s="2"/>
    </row>
    <row r="4371" spans="1:16" x14ac:dyDescent="0.25">
      <c r="A4371" s="2"/>
      <c r="B4371" s="2"/>
      <c r="F4371" s="1"/>
      <c r="G4371" s="1"/>
      <c r="I4371" s="1"/>
      <c r="J4371" s="1"/>
      <c r="L4371" s="1"/>
      <c r="M4371" s="1"/>
      <c r="O4371" s="2"/>
      <c r="P4371" s="2"/>
    </row>
    <row r="4372" spans="1:16" x14ac:dyDescent="0.25">
      <c r="A4372" s="2"/>
      <c r="B4372" s="2"/>
      <c r="F4372" s="1"/>
      <c r="G4372" s="1"/>
      <c r="I4372" s="1"/>
      <c r="J4372" s="1"/>
      <c r="L4372" s="1"/>
      <c r="M4372" s="1"/>
      <c r="O4372" s="2"/>
      <c r="P4372" s="2"/>
    </row>
    <row r="4373" spans="1:16" x14ac:dyDescent="0.25">
      <c r="A4373" s="2"/>
      <c r="B4373" s="2"/>
      <c r="F4373" s="1"/>
      <c r="G4373" s="1"/>
      <c r="I4373" s="1"/>
      <c r="J4373" s="1"/>
      <c r="L4373" s="1"/>
      <c r="M4373" s="1"/>
      <c r="O4373" s="2"/>
      <c r="P4373" s="2"/>
    </row>
    <row r="4374" spans="1:16" x14ac:dyDescent="0.25">
      <c r="A4374" s="2"/>
      <c r="B4374" s="2"/>
      <c r="F4374" s="1"/>
      <c r="G4374" s="1"/>
      <c r="I4374" s="1"/>
      <c r="J4374" s="1"/>
      <c r="L4374" s="1"/>
      <c r="M4374" s="1"/>
      <c r="O4374" s="2"/>
      <c r="P4374" s="2"/>
    </row>
    <row r="4375" spans="1:16" x14ac:dyDescent="0.25">
      <c r="A4375" s="2"/>
      <c r="B4375" s="2"/>
      <c r="F4375" s="1"/>
      <c r="G4375" s="1"/>
      <c r="I4375" s="1"/>
      <c r="J4375" s="1"/>
      <c r="L4375" s="1"/>
      <c r="M4375" s="1"/>
      <c r="O4375" s="2"/>
      <c r="P4375" s="2"/>
    </row>
    <row r="4376" spans="1:16" x14ac:dyDescent="0.25">
      <c r="A4376" s="2"/>
      <c r="B4376" s="2"/>
      <c r="F4376" s="1"/>
      <c r="G4376" s="1"/>
      <c r="I4376" s="1"/>
      <c r="J4376" s="1"/>
      <c r="L4376" s="1"/>
      <c r="M4376" s="1"/>
      <c r="O4376" s="2"/>
      <c r="P4376" s="2"/>
    </row>
    <row r="4377" spans="1:16" x14ac:dyDescent="0.25">
      <c r="A4377" s="2"/>
      <c r="B4377" s="2"/>
      <c r="F4377" s="1"/>
      <c r="G4377" s="1"/>
      <c r="I4377" s="1"/>
      <c r="J4377" s="1"/>
      <c r="L4377" s="1"/>
      <c r="M4377" s="1"/>
      <c r="O4377" s="2"/>
      <c r="P4377" s="2"/>
    </row>
    <row r="4378" spans="1:16" x14ac:dyDescent="0.25">
      <c r="A4378" s="2"/>
      <c r="B4378" s="2"/>
      <c r="F4378" s="1"/>
      <c r="G4378" s="1"/>
      <c r="I4378" s="1"/>
      <c r="J4378" s="1"/>
      <c r="L4378" s="1"/>
      <c r="M4378" s="1"/>
      <c r="O4378" s="2"/>
      <c r="P4378" s="2"/>
    </row>
    <row r="4379" spans="1:16" x14ac:dyDescent="0.25">
      <c r="A4379" s="2"/>
      <c r="B4379" s="2"/>
      <c r="F4379" s="1"/>
      <c r="G4379" s="1"/>
      <c r="I4379" s="1"/>
      <c r="J4379" s="1"/>
      <c r="L4379" s="1"/>
      <c r="M4379" s="1"/>
      <c r="O4379" s="2"/>
      <c r="P4379" s="2"/>
    </row>
    <row r="4380" spans="1:16" x14ac:dyDescent="0.25">
      <c r="A4380" s="2"/>
      <c r="B4380" s="2"/>
      <c r="F4380" s="1"/>
      <c r="G4380" s="1"/>
      <c r="I4380" s="1"/>
      <c r="J4380" s="1"/>
      <c r="L4380" s="1"/>
      <c r="M4380" s="1"/>
      <c r="O4380" s="2"/>
      <c r="P4380" s="2"/>
    </row>
    <row r="4381" spans="1:16" x14ac:dyDescent="0.25">
      <c r="A4381" s="2"/>
      <c r="B4381" s="2"/>
      <c r="F4381" s="1"/>
      <c r="G4381" s="1"/>
      <c r="I4381" s="1"/>
      <c r="J4381" s="1"/>
      <c r="L4381" s="1"/>
      <c r="M4381" s="1"/>
      <c r="O4381" s="2"/>
      <c r="P4381" s="2"/>
    </row>
    <row r="4382" spans="1:16" x14ac:dyDescent="0.25">
      <c r="A4382" s="2"/>
      <c r="B4382" s="2"/>
      <c r="F4382" s="1"/>
      <c r="G4382" s="1"/>
      <c r="I4382" s="1"/>
      <c r="J4382" s="1"/>
      <c r="L4382" s="1"/>
      <c r="M4382" s="1"/>
      <c r="O4382" s="2"/>
      <c r="P4382" s="2"/>
    </row>
    <row r="4383" spans="1:16" x14ac:dyDescent="0.25">
      <c r="A4383" s="2"/>
      <c r="B4383" s="2"/>
      <c r="F4383" s="1"/>
      <c r="G4383" s="1"/>
      <c r="I4383" s="1"/>
      <c r="J4383" s="1"/>
      <c r="L4383" s="1"/>
      <c r="M4383" s="1"/>
      <c r="O4383" s="2"/>
      <c r="P4383" s="2"/>
    </row>
    <row r="4384" spans="1:16" x14ac:dyDescent="0.25">
      <c r="A4384" s="2"/>
      <c r="B4384" s="2"/>
      <c r="F4384" s="1"/>
      <c r="G4384" s="1"/>
      <c r="I4384" s="1"/>
      <c r="J4384" s="1"/>
      <c r="L4384" s="1"/>
      <c r="M4384" s="1"/>
      <c r="O4384" s="2"/>
      <c r="P4384" s="2"/>
    </row>
    <row r="4385" spans="1:16" x14ac:dyDescent="0.25">
      <c r="A4385" s="2"/>
      <c r="B4385" s="2"/>
      <c r="F4385" s="1"/>
      <c r="G4385" s="1"/>
      <c r="I4385" s="1"/>
      <c r="J4385" s="1"/>
      <c r="L4385" s="1"/>
      <c r="M4385" s="1"/>
      <c r="O4385" s="2"/>
      <c r="P4385" s="2"/>
    </row>
    <row r="4386" spans="1:16" x14ac:dyDescent="0.25">
      <c r="A4386" s="2"/>
      <c r="B4386" s="2"/>
      <c r="F4386" s="1"/>
      <c r="G4386" s="1"/>
      <c r="I4386" s="1"/>
      <c r="J4386" s="1"/>
      <c r="L4386" s="1"/>
      <c r="M4386" s="1"/>
      <c r="O4386" s="2"/>
      <c r="P4386" s="2"/>
    </row>
    <row r="4387" spans="1:16" x14ac:dyDescent="0.25">
      <c r="A4387" s="2"/>
      <c r="B4387" s="2"/>
      <c r="F4387" s="1"/>
      <c r="G4387" s="1"/>
      <c r="I4387" s="1"/>
      <c r="J4387" s="1"/>
      <c r="L4387" s="1"/>
      <c r="M4387" s="1"/>
      <c r="O4387" s="2"/>
      <c r="P4387" s="2"/>
    </row>
    <row r="4388" spans="1:16" x14ac:dyDescent="0.25">
      <c r="A4388" s="2"/>
      <c r="B4388" s="2"/>
      <c r="F4388" s="1"/>
      <c r="G4388" s="1"/>
      <c r="I4388" s="1"/>
      <c r="J4388" s="1"/>
      <c r="L4388" s="1"/>
      <c r="M4388" s="1"/>
      <c r="O4388" s="2"/>
      <c r="P4388" s="2"/>
    </row>
    <row r="4389" spans="1:16" x14ac:dyDescent="0.25">
      <c r="A4389" s="2"/>
      <c r="B4389" s="2"/>
      <c r="F4389" s="1"/>
      <c r="G4389" s="1"/>
      <c r="I4389" s="1"/>
      <c r="J4389" s="1"/>
      <c r="L4389" s="1"/>
      <c r="M4389" s="1"/>
      <c r="O4389" s="2"/>
      <c r="P4389" s="2"/>
    </row>
    <row r="4390" spans="1:16" x14ac:dyDescent="0.25">
      <c r="A4390" s="2"/>
      <c r="B4390" s="2"/>
      <c r="F4390" s="1"/>
      <c r="G4390" s="1"/>
      <c r="I4390" s="1"/>
      <c r="J4390" s="1"/>
      <c r="L4390" s="1"/>
      <c r="M4390" s="1"/>
      <c r="O4390" s="2"/>
      <c r="P4390" s="2"/>
    </row>
    <row r="4391" spans="1:16" x14ac:dyDescent="0.25">
      <c r="A4391" s="2"/>
      <c r="B4391" s="2"/>
      <c r="F4391" s="1"/>
      <c r="G4391" s="1"/>
      <c r="I4391" s="1"/>
      <c r="J4391" s="1"/>
      <c r="L4391" s="1"/>
      <c r="M4391" s="1"/>
      <c r="O4391" s="2"/>
      <c r="P4391" s="2"/>
    </row>
    <row r="4392" spans="1:16" x14ac:dyDescent="0.25">
      <c r="A4392" s="2"/>
      <c r="B4392" s="2"/>
      <c r="F4392" s="1"/>
      <c r="G4392" s="1"/>
      <c r="I4392" s="1"/>
      <c r="J4392" s="1"/>
      <c r="L4392" s="1"/>
      <c r="M4392" s="1"/>
      <c r="O4392" s="2"/>
      <c r="P4392" s="2"/>
    </row>
    <row r="4393" spans="1:16" x14ac:dyDescent="0.25">
      <c r="A4393" s="2"/>
      <c r="B4393" s="2"/>
      <c r="F4393" s="1"/>
      <c r="G4393" s="1"/>
      <c r="I4393" s="1"/>
      <c r="J4393" s="1"/>
      <c r="L4393" s="1"/>
      <c r="M4393" s="1"/>
      <c r="O4393" s="2"/>
      <c r="P4393" s="2"/>
    </row>
    <row r="4394" spans="1:16" x14ac:dyDescent="0.25">
      <c r="A4394" s="2"/>
      <c r="B4394" s="2"/>
      <c r="F4394" s="1"/>
      <c r="G4394" s="1"/>
      <c r="I4394" s="1"/>
      <c r="J4394" s="1"/>
      <c r="L4394" s="1"/>
      <c r="M4394" s="1"/>
      <c r="O4394" s="2"/>
      <c r="P4394" s="2"/>
    </row>
    <row r="4395" spans="1:16" x14ac:dyDescent="0.25">
      <c r="A4395" s="2"/>
      <c r="B4395" s="2"/>
      <c r="F4395" s="1"/>
      <c r="G4395" s="1"/>
      <c r="I4395" s="1"/>
      <c r="J4395" s="1"/>
      <c r="L4395" s="1"/>
      <c r="M4395" s="1"/>
      <c r="O4395" s="2"/>
      <c r="P4395" s="2"/>
    </row>
    <row r="4396" spans="1:16" x14ac:dyDescent="0.25">
      <c r="A4396" s="2"/>
      <c r="B4396" s="2"/>
      <c r="F4396" s="1"/>
      <c r="G4396" s="1"/>
      <c r="I4396" s="1"/>
      <c r="J4396" s="1"/>
      <c r="L4396" s="1"/>
      <c r="M4396" s="1"/>
      <c r="O4396" s="2"/>
      <c r="P4396" s="2"/>
    </row>
    <row r="4397" spans="1:16" x14ac:dyDescent="0.25">
      <c r="A4397" s="2"/>
      <c r="B4397" s="2"/>
      <c r="F4397" s="1"/>
      <c r="G4397" s="1"/>
      <c r="I4397" s="1"/>
      <c r="J4397" s="1"/>
      <c r="L4397" s="1"/>
      <c r="M4397" s="1"/>
      <c r="O4397" s="2"/>
      <c r="P4397" s="2"/>
    </row>
    <row r="4398" spans="1:16" x14ac:dyDescent="0.25">
      <c r="A4398" s="2"/>
      <c r="B4398" s="2"/>
      <c r="F4398" s="1"/>
      <c r="G4398" s="1"/>
      <c r="I4398" s="1"/>
      <c r="J4398" s="1"/>
      <c r="L4398" s="1"/>
      <c r="M4398" s="1"/>
      <c r="O4398" s="2"/>
      <c r="P4398" s="2"/>
    </row>
    <row r="4399" spans="1:16" x14ac:dyDescent="0.25">
      <c r="A4399" s="2"/>
      <c r="B4399" s="2"/>
      <c r="F4399" s="1"/>
      <c r="G4399" s="1"/>
      <c r="I4399" s="1"/>
      <c r="J4399" s="1"/>
      <c r="L4399" s="1"/>
      <c r="M4399" s="1"/>
      <c r="O4399" s="2"/>
      <c r="P4399" s="2"/>
    </row>
    <row r="4400" spans="1:16" x14ac:dyDescent="0.25">
      <c r="A4400" s="2"/>
      <c r="B4400" s="2"/>
      <c r="F4400" s="1"/>
      <c r="G4400" s="1"/>
      <c r="I4400" s="1"/>
      <c r="J4400" s="1"/>
      <c r="L4400" s="1"/>
      <c r="M4400" s="1"/>
      <c r="O4400" s="2"/>
      <c r="P4400" s="2"/>
    </row>
    <row r="4401" spans="1:16" x14ac:dyDescent="0.25">
      <c r="A4401" s="2"/>
      <c r="B4401" s="2"/>
      <c r="F4401" s="1"/>
      <c r="G4401" s="1"/>
      <c r="I4401" s="1"/>
      <c r="J4401" s="1"/>
      <c r="L4401" s="1"/>
      <c r="M4401" s="1"/>
      <c r="O4401" s="2"/>
      <c r="P4401" s="2"/>
    </row>
    <row r="4402" spans="1:16" x14ac:dyDescent="0.25">
      <c r="A4402" s="2"/>
      <c r="B4402" s="2"/>
      <c r="F4402" s="1"/>
      <c r="G4402" s="1"/>
      <c r="I4402" s="1"/>
      <c r="J4402" s="1"/>
      <c r="L4402" s="1"/>
      <c r="M4402" s="1"/>
      <c r="O4402" s="2"/>
      <c r="P4402" s="2"/>
    </row>
    <row r="4403" spans="1:16" x14ac:dyDescent="0.25">
      <c r="A4403" s="2"/>
      <c r="B4403" s="2"/>
      <c r="F4403" s="1"/>
      <c r="G4403" s="1"/>
      <c r="I4403" s="1"/>
      <c r="J4403" s="1"/>
      <c r="L4403" s="1"/>
      <c r="M4403" s="1"/>
      <c r="O4403" s="2"/>
      <c r="P4403" s="2"/>
    </row>
    <row r="4404" spans="1:16" x14ac:dyDescent="0.25">
      <c r="A4404" s="2"/>
      <c r="B4404" s="2"/>
      <c r="F4404" s="1"/>
      <c r="G4404" s="1"/>
      <c r="I4404" s="1"/>
      <c r="J4404" s="1"/>
      <c r="L4404" s="1"/>
      <c r="M4404" s="1"/>
      <c r="O4404" s="2"/>
      <c r="P4404" s="2"/>
    </row>
    <row r="4405" spans="1:16" x14ac:dyDescent="0.25">
      <c r="A4405" s="2"/>
      <c r="B4405" s="2"/>
      <c r="F4405" s="1"/>
      <c r="G4405" s="1"/>
      <c r="I4405" s="1"/>
      <c r="J4405" s="1"/>
      <c r="L4405" s="1"/>
      <c r="M4405" s="1"/>
      <c r="O4405" s="2"/>
      <c r="P4405" s="2"/>
    </row>
    <row r="4406" spans="1:16" x14ac:dyDescent="0.25">
      <c r="A4406" s="2"/>
      <c r="B4406" s="2"/>
      <c r="F4406" s="1"/>
      <c r="G4406" s="1"/>
      <c r="I4406" s="1"/>
      <c r="J4406" s="1"/>
      <c r="L4406" s="1"/>
      <c r="M4406" s="1"/>
      <c r="O4406" s="2"/>
      <c r="P4406" s="2"/>
    </row>
    <row r="4407" spans="1:16" x14ac:dyDescent="0.25">
      <c r="A4407" s="2"/>
      <c r="B4407" s="2"/>
      <c r="F4407" s="1"/>
      <c r="G4407" s="1"/>
      <c r="I4407" s="1"/>
      <c r="J4407" s="1"/>
      <c r="L4407" s="1"/>
      <c r="M4407" s="1"/>
      <c r="O4407" s="2"/>
      <c r="P4407" s="2"/>
    </row>
    <row r="4408" spans="1:16" x14ac:dyDescent="0.25">
      <c r="A4408" s="2"/>
      <c r="B4408" s="2"/>
      <c r="F4408" s="1"/>
      <c r="G4408" s="1"/>
      <c r="I4408" s="1"/>
      <c r="J4408" s="1"/>
      <c r="L4408" s="1"/>
      <c r="M4408" s="1"/>
      <c r="O4408" s="2"/>
      <c r="P4408" s="2"/>
    </row>
    <row r="4409" spans="1:16" x14ac:dyDescent="0.25">
      <c r="A4409" s="2"/>
      <c r="B4409" s="2"/>
      <c r="F4409" s="1"/>
      <c r="G4409" s="1"/>
      <c r="I4409" s="1"/>
      <c r="J4409" s="1"/>
      <c r="L4409" s="1"/>
      <c r="M4409" s="1"/>
      <c r="O4409" s="2"/>
      <c r="P4409" s="2"/>
    </row>
    <row r="4410" spans="1:16" x14ac:dyDescent="0.25">
      <c r="A4410" s="2"/>
      <c r="B4410" s="2"/>
      <c r="F4410" s="1"/>
      <c r="G4410" s="1"/>
      <c r="I4410" s="1"/>
      <c r="J4410" s="1"/>
      <c r="L4410" s="1"/>
      <c r="M4410" s="1"/>
      <c r="O4410" s="2"/>
      <c r="P4410" s="2"/>
    </row>
    <row r="4411" spans="1:16" x14ac:dyDescent="0.25">
      <c r="A4411" s="2"/>
      <c r="B4411" s="2"/>
      <c r="F4411" s="1"/>
      <c r="G4411" s="1"/>
      <c r="I4411" s="1"/>
      <c r="J4411" s="1"/>
      <c r="L4411" s="1"/>
      <c r="M4411" s="1"/>
      <c r="O4411" s="2"/>
      <c r="P4411" s="2"/>
    </row>
    <row r="4412" spans="1:16" x14ac:dyDescent="0.25">
      <c r="A4412" s="2"/>
      <c r="B4412" s="2"/>
      <c r="F4412" s="1"/>
      <c r="G4412" s="1"/>
      <c r="I4412" s="1"/>
      <c r="J4412" s="1"/>
      <c r="L4412" s="1"/>
      <c r="M4412" s="1"/>
      <c r="O4412" s="2"/>
      <c r="P4412" s="2"/>
    </row>
    <row r="4413" spans="1:16" x14ac:dyDescent="0.25">
      <c r="A4413" s="2"/>
      <c r="B4413" s="2"/>
      <c r="F4413" s="1"/>
      <c r="G4413" s="1"/>
      <c r="I4413" s="1"/>
      <c r="J4413" s="1"/>
      <c r="L4413" s="1"/>
      <c r="M4413" s="1"/>
      <c r="O4413" s="2"/>
      <c r="P4413" s="2"/>
    </row>
    <row r="4414" spans="1:16" x14ac:dyDescent="0.25">
      <c r="A4414" s="2"/>
      <c r="B4414" s="2"/>
      <c r="F4414" s="1"/>
      <c r="G4414" s="1"/>
      <c r="I4414" s="1"/>
      <c r="J4414" s="1"/>
      <c r="L4414" s="1"/>
      <c r="M4414" s="1"/>
      <c r="O4414" s="2"/>
      <c r="P4414" s="2"/>
    </row>
    <row r="4415" spans="1:16" x14ac:dyDescent="0.25">
      <c r="A4415" s="2"/>
      <c r="B4415" s="2"/>
      <c r="F4415" s="1"/>
      <c r="G4415" s="1"/>
      <c r="I4415" s="1"/>
      <c r="J4415" s="1"/>
      <c r="L4415" s="1"/>
      <c r="M4415" s="1"/>
      <c r="O4415" s="2"/>
      <c r="P4415" s="2"/>
    </row>
    <row r="4416" spans="1:16" x14ac:dyDescent="0.25">
      <c r="A4416" s="2"/>
      <c r="B4416" s="2"/>
      <c r="F4416" s="1"/>
      <c r="G4416" s="1"/>
      <c r="I4416" s="1"/>
      <c r="J4416" s="1"/>
      <c r="L4416" s="1"/>
      <c r="M4416" s="1"/>
      <c r="O4416" s="2"/>
      <c r="P4416" s="2"/>
    </row>
    <row r="4417" spans="1:16" x14ac:dyDescent="0.25">
      <c r="A4417" s="2"/>
      <c r="B4417" s="2"/>
      <c r="F4417" s="1"/>
      <c r="G4417" s="1"/>
      <c r="I4417" s="1"/>
      <c r="J4417" s="1"/>
      <c r="L4417" s="1"/>
      <c r="M4417" s="1"/>
      <c r="O4417" s="2"/>
      <c r="P4417" s="2"/>
    </row>
    <row r="4418" spans="1:16" x14ac:dyDescent="0.25">
      <c r="A4418" s="2"/>
      <c r="B4418" s="2"/>
      <c r="F4418" s="1"/>
      <c r="G4418" s="1"/>
      <c r="I4418" s="1"/>
      <c r="J4418" s="1"/>
      <c r="L4418" s="1"/>
      <c r="M4418" s="1"/>
      <c r="O4418" s="2"/>
      <c r="P4418" s="2"/>
    </row>
    <row r="4419" spans="1:16" x14ac:dyDescent="0.25">
      <c r="A4419" s="2"/>
      <c r="B4419" s="2"/>
      <c r="F4419" s="1"/>
      <c r="G4419" s="1"/>
      <c r="I4419" s="1"/>
      <c r="J4419" s="1"/>
      <c r="L4419" s="1"/>
      <c r="M4419" s="1"/>
      <c r="O4419" s="2"/>
      <c r="P4419" s="2"/>
    </row>
    <row r="4420" spans="1:16" x14ac:dyDescent="0.25">
      <c r="A4420" s="2"/>
      <c r="B4420" s="2"/>
      <c r="F4420" s="1"/>
      <c r="G4420" s="1"/>
      <c r="I4420" s="1"/>
      <c r="J4420" s="1"/>
      <c r="L4420" s="1"/>
      <c r="M4420" s="1"/>
      <c r="O4420" s="2"/>
      <c r="P4420" s="2"/>
    </row>
    <row r="4421" spans="1:16" x14ac:dyDescent="0.25">
      <c r="A4421" s="2"/>
      <c r="B4421" s="2"/>
      <c r="F4421" s="1"/>
      <c r="G4421" s="1"/>
      <c r="I4421" s="1"/>
      <c r="J4421" s="1"/>
      <c r="L4421" s="1"/>
      <c r="M4421" s="1"/>
      <c r="O4421" s="2"/>
      <c r="P4421" s="2"/>
    </row>
    <row r="4422" spans="1:16" x14ac:dyDescent="0.25">
      <c r="A4422" s="2"/>
      <c r="B4422" s="2"/>
      <c r="F4422" s="1"/>
      <c r="G4422" s="1"/>
      <c r="I4422" s="1"/>
      <c r="J4422" s="1"/>
      <c r="L4422" s="1"/>
      <c r="M4422" s="1"/>
      <c r="O4422" s="2"/>
      <c r="P4422" s="2"/>
    </row>
    <row r="4423" spans="1:16" x14ac:dyDescent="0.25">
      <c r="A4423" s="2"/>
      <c r="B4423" s="2"/>
      <c r="F4423" s="1"/>
      <c r="G4423" s="1"/>
      <c r="I4423" s="1"/>
      <c r="J4423" s="1"/>
      <c r="L4423" s="1"/>
      <c r="M4423" s="1"/>
      <c r="O4423" s="2"/>
      <c r="P4423" s="2"/>
    </row>
    <row r="4424" spans="1:16" x14ac:dyDescent="0.25">
      <c r="A4424" s="2"/>
      <c r="B4424" s="2"/>
      <c r="F4424" s="1"/>
      <c r="G4424" s="1"/>
      <c r="I4424" s="1"/>
      <c r="J4424" s="1"/>
      <c r="L4424" s="1"/>
      <c r="M4424" s="1"/>
      <c r="O4424" s="2"/>
      <c r="P4424" s="2"/>
    </row>
    <row r="4425" spans="1:16" x14ac:dyDescent="0.25">
      <c r="A4425" s="2"/>
      <c r="B4425" s="2"/>
      <c r="F4425" s="1"/>
      <c r="G4425" s="1"/>
      <c r="I4425" s="1"/>
      <c r="J4425" s="1"/>
      <c r="L4425" s="1"/>
      <c r="M4425" s="1"/>
      <c r="O4425" s="2"/>
      <c r="P4425" s="2"/>
    </row>
    <row r="4426" spans="1:16" x14ac:dyDescent="0.25">
      <c r="A4426" s="2"/>
      <c r="B4426" s="2"/>
      <c r="F4426" s="1"/>
      <c r="G4426" s="1"/>
      <c r="I4426" s="1"/>
      <c r="J4426" s="1"/>
      <c r="L4426" s="1"/>
      <c r="M4426" s="1"/>
      <c r="O4426" s="2"/>
      <c r="P4426" s="2"/>
    </row>
    <row r="4427" spans="1:16" x14ac:dyDescent="0.25">
      <c r="A4427" s="2"/>
      <c r="B4427" s="2"/>
      <c r="F4427" s="1"/>
      <c r="G4427" s="1"/>
      <c r="I4427" s="1"/>
      <c r="J4427" s="1"/>
      <c r="L4427" s="1"/>
      <c r="M4427" s="1"/>
      <c r="O4427" s="2"/>
      <c r="P4427" s="2"/>
    </row>
    <row r="4428" spans="1:16" x14ac:dyDescent="0.25">
      <c r="A4428" s="2"/>
      <c r="B4428" s="2"/>
      <c r="F4428" s="1"/>
      <c r="G4428" s="1"/>
      <c r="I4428" s="1"/>
      <c r="J4428" s="1"/>
      <c r="L4428" s="1"/>
      <c r="M4428" s="1"/>
      <c r="O4428" s="2"/>
      <c r="P4428" s="2"/>
    </row>
    <row r="4429" spans="1:16" x14ac:dyDescent="0.25">
      <c r="A4429" s="2"/>
      <c r="B4429" s="2"/>
      <c r="F4429" s="1"/>
      <c r="G4429" s="1"/>
      <c r="I4429" s="1"/>
      <c r="J4429" s="1"/>
      <c r="L4429" s="1"/>
      <c r="M4429" s="1"/>
      <c r="O4429" s="2"/>
      <c r="P4429" s="2"/>
    </row>
    <row r="4430" spans="1:16" x14ac:dyDescent="0.25">
      <c r="A4430" s="2"/>
      <c r="B4430" s="2"/>
      <c r="F4430" s="1"/>
      <c r="G4430" s="1"/>
      <c r="I4430" s="1"/>
      <c r="J4430" s="1"/>
      <c r="L4430" s="1"/>
      <c r="M4430" s="1"/>
      <c r="O4430" s="2"/>
      <c r="P4430" s="2"/>
    </row>
    <row r="4431" spans="1:16" x14ac:dyDescent="0.25">
      <c r="A4431" s="2"/>
      <c r="B4431" s="2"/>
      <c r="F4431" s="1"/>
      <c r="G4431" s="1"/>
      <c r="I4431" s="1"/>
      <c r="J4431" s="1"/>
      <c r="L4431" s="1"/>
      <c r="M4431" s="1"/>
      <c r="O4431" s="2"/>
      <c r="P4431" s="2"/>
    </row>
    <row r="4432" spans="1:16" x14ac:dyDescent="0.25">
      <c r="A4432" s="2"/>
      <c r="B4432" s="2"/>
      <c r="F4432" s="1"/>
      <c r="G4432" s="1"/>
      <c r="I4432" s="1"/>
      <c r="J4432" s="1"/>
      <c r="L4432" s="1"/>
      <c r="M4432" s="1"/>
      <c r="O4432" s="2"/>
      <c r="P4432" s="2"/>
    </row>
    <row r="4433" spans="1:16" x14ac:dyDescent="0.25">
      <c r="A4433" s="2"/>
      <c r="B4433" s="2"/>
      <c r="F4433" s="1"/>
      <c r="G4433" s="1"/>
      <c r="I4433" s="1"/>
      <c r="J4433" s="1"/>
      <c r="L4433" s="1"/>
      <c r="M4433" s="1"/>
      <c r="O4433" s="2"/>
      <c r="P4433" s="2"/>
    </row>
    <row r="4434" spans="1:16" x14ac:dyDescent="0.25">
      <c r="A4434" s="2"/>
      <c r="B4434" s="2"/>
      <c r="F4434" s="1"/>
      <c r="G4434" s="1"/>
      <c r="I4434" s="1"/>
      <c r="J4434" s="1"/>
      <c r="L4434" s="1"/>
      <c r="M4434" s="1"/>
      <c r="O4434" s="2"/>
      <c r="P4434" s="2"/>
    </row>
    <row r="4435" spans="1:16" x14ac:dyDescent="0.25">
      <c r="A4435" s="2"/>
      <c r="B4435" s="2"/>
      <c r="F4435" s="1"/>
      <c r="G4435" s="1"/>
      <c r="I4435" s="1"/>
      <c r="J4435" s="1"/>
      <c r="L4435" s="1"/>
      <c r="M4435" s="1"/>
      <c r="O4435" s="2"/>
      <c r="P4435" s="2"/>
    </row>
    <row r="4436" spans="1:16" x14ac:dyDescent="0.25">
      <c r="A4436" s="2"/>
      <c r="B4436" s="2"/>
      <c r="F4436" s="1"/>
      <c r="G4436" s="1"/>
      <c r="I4436" s="1"/>
      <c r="J4436" s="1"/>
      <c r="L4436" s="1"/>
      <c r="M4436" s="1"/>
      <c r="O4436" s="2"/>
      <c r="P4436" s="2"/>
    </row>
    <row r="4437" spans="1:16" x14ac:dyDescent="0.25">
      <c r="A4437" s="2"/>
      <c r="B4437" s="2"/>
      <c r="F4437" s="1"/>
      <c r="G4437" s="1"/>
      <c r="I4437" s="1"/>
      <c r="J4437" s="1"/>
      <c r="L4437" s="1"/>
      <c r="M4437" s="1"/>
      <c r="O4437" s="2"/>
      <c r="P4437" s="2"/>
    </row>
    <row r="4438" spans="1:16" x14ac:dyDescent="0.25">
      <c r="A4438" s="2"/>
      <c r="B4438" s="2"/>
      <c r="F4438" s="1"/>
      <c r="G4438" s="1"/>
      <c r="I4438" s="1"/>
      <c r="J4438" s="1"/>
      <c r="L4438" s="1"/>
      <c r="M4438" s="1"/>
      <c r="O4438" s="2"/>
      <c r="P4438" s="2"/>
    </row>
    <row r="4439" spans="1:16" x14ac:dyDescent="0.25">
      <c r="A4439" s="2"/>
      <c r="B4439" s="2"/>
      <c r="F4439" s="1"/>
      <c r="G4439" s="1"/>
      <c r="I4439" s="1"/>
      <c r="J4439" s="1"/>
      <c r="L4439" s="1"/>
      <c r="M4439" s="1"/>
      <c r="O4439" s="2"/>
      <c r="P4439" s="2"/>
    </row>
    <row r="4440" spans="1:16" x14ac:dyDescent="0.25">
      <c r="A4440" s="2"/>
      <c r="B4440" s="2"/>
      <c r="F4440" s="1"/>
      <c r="G4440" s="1"/>
      <c r="I4440" s="1"/>
      <c r="J4440" s="1"/>
      <c r="L4440" s="1"/>
      <c r="M4440" s="1"/>
      <c r="O4440" s="2"/>
      <c r="P4440" s="2"/>
    </row>
    <row r="4441" spans="1:16" x14ac:dyDescent="0.25">
      <c r="A4441" s="2"/>
      <c r="B4441" s="2"/>
      <c r="F4441" s="1"/>
      <c r="G4441" s="1"/>
      <c r="I4441" s="1"/>
      <c r="J4441" s="1"/>
      <c r="L4441" s="1"/>
      <c r="M4441" s="1"/>
      <c r="O4441" s="2"/>
      <c r="P4441" s="2"/>
    </row>
    <row r="4442" spans="1:16" x14ac:dyDescent="0.25">
      <c r="A4442" s="2"/>
      <c r="B4442" s="2"/>
      <c r="F4442" s="1"/>
      <c r="G4442" s="1"/>
      <c r="I4442" s="1"/>
      <c r="J4442" s="1"/>
      <c r="L4442" s="1"/>
      <c r="M4442" s="1"/>
      <c r="O4442" s="2"/>
      <c r="P4442" s="2"/>
    </row>
    <row r="4443" spans="1:16" x14ac:dyDescent="0.25">
      <c r="A4443" s="2"/>
      <c r="B4443" s="2"/>
      <c r="F4443" s="1"/>
      <c r="G4443" s="1"/>
      <c r="I4443" s="1"/>
      <c r="J4443" s="1"/>
      <c r="L4443" s="1"/>
      <c r="M4443" s="1"/>
      <c r="O4443" s="2"/>
      <c r="P4443" s="2"/>
    </row>
    <row r="4444" spans="1:16" x14ac:dyDescent="0.25">
      <c r="A4444" s="2"/>
      <c r="B4444" s="2"/>
      <c r="F4444" s="1"/>
      <c r="G4444" s="1"/>
      <c r="I4444" s="1"/>
      <c r="J4444" s="1"/>
      <c r="L4444" s="1"/>
      <c r="M4444" s="1"/>
      <c r="O4444" s="2"/>
      <c r="P4444" s="2"/>
    </row>
    <row r="4445" spans="1:16" x14ac:dyDescent="0.25">
      <c r="A4445" s="2"/>
      <c r="B4445" s="2"/>
      <c r="F4445" s="1"/>
      <c r="G4445" s="1"/>
      <c r="I4445" s="1"/>
      <c r="J4445" s="1"/>
      <c r="L4445" s="1"/>
      <c r="M4445" s="1"/>
      <c r="O4445" s="2"/>
      <c r="P4445" s="2"/>
    </row>
    <row r="4446" spans="1:16" x14ac:dyDescent="0.25">
      <c r="A4446" s="2"/>
      <c r="B4446" s="2"/>
      <c r="F4446" s="1"/>
      <c r="G4446" s="1"/>
      <c r="I4446" s="1"/>
      <c r="J4446" s="1"/>
      <c r="L4446" s="1"/>
      <c r="M4446" s="1"/>
      <c r="O4446" s="2"/>
      <c r="P4446" s="2"/>
    </row>
    <row r="4447" spans="1:16" x14ac:dyDescent="0.25">
      <c r="A4447" s="2"/>
      <c r="B4447" s="2"/>
      <c r="F4447" s="1"/>
      <c r="G4447" s="1"/>
      <c r="I4447" s="1"/>
      <c r="J4447" s="1"/>
      <c r="L4447" s="1"/>
      <c r="M4447" s="1"/>
      <c r="O4447" s="2"/>
      <c r="P4447" s="2"/>
    </row>
    <row r="4448" spans="1:16" x14ac:dyDescent="0.25">
      <c r="A4448" s="2"/>
      <c r="B4448" s="2"/>
      <c r="F4448" s="1"/>
      <c r="G4448" s="1"/>
      <c r="I4448" s="1"/>
      <c r="J4448" s="1"/>
      <c r="L4448" s="1"/>
      <c r="M4448" s="1"/>
      <c r="O4448" s="2"/>
      <c r="P4448" s="2"/>
    </row>
    <row r="4449" spans="1:16" x14ac:dyDescent="0.25">
      <c r="A4449" s="2"/>
      <c r="B4449" s="2"/>
      <c r="F4449" s="1"/>
      <c r="G4449" s="1"/>
      <c r="I4449" s="1"/>
      <c r="J4449" s="1"/>
      <c r="L4449" s="1"/>
      <c r="M4449" s="1"/>
      <c r="O4449" s="2"/>
      <c r="P4449" s="2"/>
    </row>
    <row r="4450" spans="1:16" x14ac:dyDescent="0.25">
      <c r="A4450" s="2"/>
      <c r="B4450" s="2"/>
      <c r="F4450" s="1"/>
      <c r="G4450" s="1"/>
      <c r="I4450" s="1"/>
      <c r="J4450" s="1"/>
      <c r="L4450" s="1"/>
      <c r="M4450" s="1"/>
      <c r="O4450" s="2"/>
      <c r="P4450" s="2"/>
    </row>
    <row r="4451" spans="1:16" x14ac:dyDescent="0.25">
      <c r="A4451" s="2"/>
      <c r="B4451" s="2"/>
      <c r="F4451" s="1"/>
      <c r="G4451" s="1"/>
      <c r="I4451" s="1"/>
      <c r="J4451" s="1"/>
      <c r="L4451" s="1"/>
      <c r="M4451" s="1"/>
      <c r="O4451" s="2"/>
      <c r="P4451" s="2"/>
    </row>
    <row r="4452" spans="1:16" x14ac:dyDescent="0.25">
      <c r="A4452" s="2"/>
      <c r="B4452" s="2"/>
      <c r="F4452" s="1"/>
      <c r="G4452" s="1"/>
      <c r="I4452" s="1"/>
      <c r="J4452" s="1"/>
      <c r="L4452" s="1"/>
      <c r="M4452" s="1"/>
      <c r="O4452" s="2"/>
      <c r="P4452" s="2"/>
    </row>
    <row r="4453" spans="1:16" x14ac:dyDescent="0.25">
      <c r="A4453" s="2"/>
      <c r="B4453" s="2"/>
      <c r="F4453" s="1"/>
      <c r="G4453" s="1"/>
      <c r="I4453" s="1"/>
      <c r="J4453" s="1"/>
      <c r="L4453" s="1"/>
      <c r="M4453" s="1"/>
      <c r="O4453" s="2"/>
      <c r="P4453" s="2"/>
    </row>
    <row r="4454" spans="1:16" x14ac:dyDescent="0.25">
      <c r="A4454" s="2"/>
      <c r="B4454" s="2"/>
      <c r="F4454" s="1"/>
      <c r="G4454" s="1"/>
      <c r="I4454" s="1"/>
      <c r="J4454" s="1"/>
      <c r="L4454" s="1"/>
      <c r="M4454" s="1"/>
      <c r="O4454" s="2"/>
      <c r="P4454" s="2"/>
    </row>
    <row r="4455" spans="1:16" x14ac:dyDescent="0.25">
      <c r="A4455" s="2"/>
      <c r="B4455" s="2"/>
      <c r="F4455" s="1"/>
      <c r="G4455" s="1"/>
      <c r="I4455" s="1"/>
      <c r="J4455" s="1"/>
      <c r="L4455" s="1"/>
      <c r="M4455" s="1"/>
      <c r="O4455" s="2"/>
      <c r="P4455" s="2"/>
    </row>
    <row r="4456" spans="1:16" x14ac:dyDescent="0.25">
      <c r="A4456" s="2"/>
      <c r="B4456" s="2"/>
      <c r="F4456" s="1"/>
      <c r="G4456" s="1"/>
      <c r="I4456" s="1"/>
      <c r="J4456" s="1"/>
      <c r="L4456" s="1"/>
      <c r="M4456" s="1"/>
      <c r="O4456" s="2"/>
      <c r="P4456" s="2"/>
    </row>
    <row r="4457" spans="1:16" x14ac:dyDescent="0.25">
      <c r="A4457" s="2"/>
      <c r="B4457" s="2"/>
      <c r="F4457" s="1"/>
      <c r="G4457" s="1"/>
      <c r="I4457" s="1"/>
      <c r="J4457" s="1"/>
      <c r="L4457" s="1"/>
      <c r="M4457" s="1"/>
      <c r="O4457" s="2"/>
      <c r="P4457" s="2"/>
    </row>
    <row r="4458" spans="1:16" x14ac:dyDescent="0.25">
      <c r="A4458" s="2"/>
      <c r="B4458" s="2"/>
      <c r="F4458" s="1"/>
      <c r="G4458" s="1"/>
      <c r="I4458" s="1"/>
      <c r="J4458" s="1"/>
      <c r="L4458" s="1"/>
      <c r="M4458" s="1"/>
      <c r="O4458" s="2"/>
      <c r="P4458" s="2"/>
    </row>
    <row r="4459" spans="1:16" x14ac:dyDescent="0.25">
      <c r="A4459" s="2"/>
      <c r="B4459" s="2"/>
      <c r="F4459" s="1"/>
      <c r="G4459" s="1"/>
      <c r="I4459" s="1"/>
      <c r="J4459" s="1"/>
      <c r="L4459" s="1"/>
      <c r="M4459" s="1"/>
      <c r="O4459" s="2"/>
      <c r="P4459" s="2"/>
    </row>
    <row r="4460" spans="1:16" x14ac:dyDescent="0.25">
      <c r="A4460" s="2"/>
      <c r="B4460" s="2"/>
      <c r="F4460" s="1"/>
      <c r="G4460" s="1"/>
      <c r="I4460" s="1"/>
      <c r="J4460" s="1"/>
      <c r="L4460" s="1"/>
      <c r="M4460" s="1"/>
      <c r="O4460" s="2"/>
      <c r="P4460" s="2"/>
    </row>
    <row r="4461" spans="1:16" x14ac:dyDescent="0.25">
      <c r="A4461" s="2"/>
      <c r="B4461" s="2"/>
      <c r="F4461" s="1"/>
      <c r="G4461" s="1"/>
      <c r="I4461" s="1"/>
      <c r="J4461" s="1"/>
      <c r="L4461" s="1"/>
      <c r="M4461" s="1"/>
      <c r="O4461" s="2"/>
      <c r="P4461" s="2"/>
    </row>
    <row r="4462" spans="1:16" x14ac:dyDescent="0.25">
      <c r="A4462" s="2"/>
      <c r="B4462" s="2"/>
      <c r="F4462" s="1"/>
      <c r="G4462" s="1"/>
      <c r="I4462" s="1"/>
      <c r="J4462" s="1"/>
      <c r="L4462" s="1"/>
      <c r="M4462" s="1"/>
      <c r="O4462" s="2"/>
      <c r="P4462" s="2"/>
    </row>
    <row r="4463" spans="1:16" x14ac:dyDescent="0.25">
      <c r="A4463" s="2"/>
      <c r="B4463" s="2"/>
      <c r="F4463" s="1"/>
      <c r="G4463" s="1"/>
      <c r="I4463" s="1"/>
      <c r="J4463" s="1"/>
      <c r="L4463" s="1"/>
      <c r="M4463" s="1"/>
      <c r="O4463" s="2"/>
      <c r="P4463" s="2"/>
    </row>
    <row r="4464" spans="1:16" x14ac:dyDescent="0.25">
      <c r="A4464" s="2"/>
      <c r="B4464" s="2"/>
      <c r="F4464" s="1"/>
      <c r="G4464" s="1"/>
      <c r="I4464" s="1"/>
      <c r="J4464" s="1"/>
      <c r="L4464" s="1"/>
      <c r="M4464" s="1"/>
      <c r="O4464" s="2"/>
      <c r="P4464" s="2"/>
    </row>
    <row r="4465" spans="1:16" x14ac:dyDescent="0.25">
      <c r="A4465" s="2"/>
      <c r="B4465" s="2"/>
      <c r="F4465" s="1"/>
      <c r="G4465" s="1"/>
      <c r="I4465" s="1"/>
      <c r="J4465" s="1"/>
      <c r="L4465" s="1"/>
      <c r="M4465" s="1"/>
      <c r="O4465" s="2"/>
      <c r="P4465" s="2"/>
    </row>
    <row r="4466" spans="1:16" x14ac:dyDescent="0.25">
      <c r="A4466" s="2"/>
      <c r="B4466" s="2"/>
      <c r="F4466" s="1"/>
      <c r="G4466" s="1"/>
      <c r="I4466" s="1"/>
      <c r="J4466" s="1"/>
      <c r="L4466" s="1"/>
      <c r="M4466" s="1"/>
      <c r="O4466" s="2"/>
      <c r="P4466" s="2"/>
    </row>
    <row r="4467" spans="1:16" x14ac:dyDescent="0.25">
      <c r="A4467" s="2"/>
      <c r="B4467" s="2"/>
      <c r="F4467" s="1"/>
      <c r="G4467" s="1"/>
      <c r="I4467" s="1"/>
      <c r="J4467" s="1"/>
      <c r="L4467" s="1"/>
      <c r="M4467" s="1"/>
      <c r="O4467" s="2"/>
      <c r="P4467" s="2"/>
    </row>
    <row r="4468" spans="1:16" x14ac:dyDescent="0.25">
      <c r="A4468" s="2"/>
      <c r="B4468" s="2"/>
      <c r="F4468" s="1"/>
      <c r="G4468" s="1"/>
      <c r="I4468" s="1"/>
      <c r="J4468" s="1"/>
      <c r="L4468" s="1"/>
      <c r="M4468" s="1"/>
      <c r="O4468" s="2"/>
      <c r="P4468" s="2"/>
    </row>
    <row r="4469" spans="1:16" x14ac:dyDescent="0.25">
      <c r="A4469" s="2"/>
      <c r="B4469" s="2"/>
      <c r="F4469" s="1"/>
      <c r="G4469" s="1"/>
      <c r="I4469" s="1"/>
      <c r="J4469" s="1"/>
      <c r="L4469" s="1"/>
      <c r="M4469" s="1"/>
      <c r="O4469" s="2"/>
      <c r="P4469" s="2"/>
    </row>
    <row r="4470" spans="1:16" x14ac:dyDescent="0.25">
      <c r="A4470" s="2"/>
      <c r="B4470" s="2"/>
      <c r="F4470" s="1"/>
      <c r="G4470" s="1"/>
      <c r="I4470" s="1"/>
      <c r="J4470" s="1"/>
      <c r="L4470" s="1"/>
      <c r="M4470" s="1"/>
      <c r="O4470" s="2"/>
      <c r="P4470" s="2"/>
    </row>
    <row r="4471" spans="1:16" x14ac:dyDescent="0.25">
      <c r="A4471" s="2"/>
      <c r="B4471" s="2"/>
      <c r="F4471" s="1"/>
      <c r="G4471" s="1"/>
      <c r="I4471" s="1"/>
      <c r="J4471" s="1"/>
      <c r="L4471" s="1"/>
      <c r="M4471" s="1"/>
      <c r="O4471" s="2"/>
      <c r="P4471" s="2"/>
    </row>
    <row r="4472" spans="1:16" x14ac:dyDescent="0.25">
      <c r="A4472" s="2"/>
      <c r="B4472" s="2"/>
      <c r="F4472" s="1"/>
      <c r="G4472" s="1"/>
      <c r="I4472" s="1"/>
      <c r="J4472" s="1"/>
      <c r="L4472" s="1"/>
      <c r="M4472" s="1"/>
      <c r="O4472" s="2"/>
      <c r="P4472" s="2"/>
    </row>
    <row r="4473" spans="1:16" x14ac:dyDescent="0.25">
      <c r="A4473" s="2"/>
      <c r="B4473" s="2"/>
      <c r="F4473" s="1"/>
      <c r="G4473" s="1"/>
      <c r="I4473" s="1"/>
      <c r="J4473" s="1"/>
      <c r="L4473" s="1"/>
      <c r="M4473" s="1"/>
      <c r="O4473" s="2"/>
      <c r="P4473" s="2"/>
    </row>
    <row r="4474" spans="1:16" x14ac:dyDescent="0.25">
      <c r="A4474" s="2"/>
      <c r="B4474" s="2"/>
      <c r="F4474" s="1"/>
      <c r="G4474" s="1"/>
      <c r="I4474" s="1"/>
      <c r="J4474" s="1"/>
      <c r="L4474" s="1"/>
      <c r="M4474" s="1"/>
      <c r="O4474" s="2"/>
      <c r="P4474" s="2"/>
    </row>
    <row r="4475" spans="1:16" x14ac:dyDescent="0.25">
      <c r="A4475" s="2"/>
      <c r="B4475" s="2"/>
      <c r="F4475" s="1"/>
      <c r="G4475" s="1"/>
      <c r="I4475" s="1"/>
      <c r="J4475" s="1"/>
      <c r="L4475" s="1"/>
      <c r="M4475" s="1"/>
      <c r="O4475" s="2"/>
      <c r="P4475" s="2"/>
    </row>
    <row r="4476" spans="1:16" x14ac:dyDescent="0.25">
      <c r="A4476" s="2"/>
      <c r="B4476" s="2"/>
      <c r="F4476" s="1"/>
      <c r="G4476" s="1"/>
      <c r="I4476" s="1"/>
      <c r="J4476" s="1"/>
      <c r="L4476" s="1"/>
      <c r="M4476" s="1"/>
      <c r="O4476" s="2"/>
      <c r="P4476" s="2"/>
    </row>
    <row r="4477" spans="1:16" x14ac:dyDescent="0.25">
      <c r="A4477" s="2"/>
      <c r="B4477" s="2"/>
      <c r="F4477" s="1"/>
      <c r="G4477" s="1"/>
      <c r="I4477" s="1"/>
      <c r="J4477" s="1"/>
      <c r="L4477" s="1"/>
      <c r="M4477" s="1"/>
      <c r="O4477" s="2"/>
      <c r="P4477" s="2"/>
    </row>
    <row r="4478" spans="1:16" x14ac:dyDescent="0.25">
      <c r="A4478" s="2"/>
      <c r="B4478" s="2"/>
      <c r="F4478" s="1"/>
      <c r="G4478" s="1"/>
      <c r="I4478" s="1"/>
      <c r="J4478" s="1"/>
      <c r="L4478" s="1"/>
      <c r="M4478" s="1"/>
      <c r="O4478" s="2"/>
      <c r="P4478" s="2"/>
    </row>
    <row r="4479" spans="1:16" x14ac:dyDescent="0.25">
      <c r="A4479" s="2"/>
      <c r="B4479" s="2"/>
      <c r="F4479" s="1"/>
      <c r="G4479" s="1"/>
      <c r="I4479" s="1"/>
      <c r="J4479" s="1"/>
      <c r="L4479" s="1"/>
      <c r="M4479" s="1"/>
      <c r="O4479" s="2"/>
      <c r="P4479" s="2"/>
    </row>
    <row r="4480" spans="1:16" x14ac:dyDescent="0.25">
      <c r="A4480" s="2"/>
      <c r="B4480" s="2"/>
      <c r="F4480" s="1"/>
      <c r="G4480" s="1"/>
      <c r="I4480" s="1"/>
      <c r="J4480" s="1"/>
      <c r="L4480" s="1"/>
      <c r="M4480" s="1"/>
      <c r="O4480" s="2"/>
      <c r="P4480" s="2"/>
    </row>
    <row r="4481" spans="1:16" x14ac:dyDescent="0.25">
      <c r="A4481" s="2"/>
      <c r="B4481" s="2"/>
      <c r="F4481" s="1"/>
      <c r="G4481" s="1"/>
      <c r="I4481" s="1"/>
      <c r="J4481" s="1"/>
      <c r="L4481" s="1"/>
      <c r="M4481" s="1"/>
      <c r="O4481" s="2"/>
      <c r="P4481" s="2"/>
    </row>
    <row r="4482" spans="1:16" x14ac:dyDescent="0.25">
      <c r="A4482" s="2"/>
      <c r="B4482" s="2"/>
      <c r="F4482" s="1"/>
      <c r="G4482" s="1"/>
      <c r="I4482" s="1"/>
      <c r="J4482" s="1"/>
      <c r="L4482" s="1"/>
      <c r="M4482" s="1"/>
      <c r="O4482" s="2"/>
      <c r="P4482" s="2"/>
    </row>
    <row r="4483" spans="1:16" x14ac:dyDescent="0.25">
      <c r="A4483" s="2"/>
      <c r="B4483" s="2"/>
      <c r="F4483" s="1"/>
      <c r="G4483" s="1"/>
      <c r="I4483" s="1"/>
      <c r="J4483" s="1"/>
      <c r="L4483" s="1"/>
      <c r="M4483" s="1"/>
      <c r="O4483" s="2"/>
      <c r="P4483" s="2"/>
    </row>
    <row r="4484" spans="1:16" x14ac:dyDescent="0.25">
      <c r="A4484" s="2"/>
      <c r="B4484" s="2"/>
      <c r="F4484" s="1"/>
      <c r="G4484" s="1"/>
      <c r="I4484" s="1"/>
      <c r="J4484" s="1"/>
      <c r="L4484" s="1"/>
      <c r="M4484" s="1"/>
      <c r="O4484" s="2"/>
      <c r="P4484" s="2"/>
    </row>
    <row r="4485" spans="1:16" x14ac:dyDescent="0.25">
      <c r="A4485" s="2"/>
      <c r="B4485" s="2"/>
      <c r="F4485" s="1"/>
      <c r="G4485" s="1"/>
      <c r="I4485" s="1"/>
      <c r="J4485" s="1"/>
      <c r="L4485" s="1"/>
      <c r="M4485" s="1"/>
      <c r="O4485" s="2"/>
      <c r="P4485" s="2"/>
    </row>
    <row r="4486" spans="1:16" x14ac:dyDescent="0.25">
      <c r="A4486" s="2"/>
      <c r="B4486" s="2"/>
      <c r="F4486" s="1"/>
      <c r="G4486" s="1"/>
      <c r="I4486" s="1"/>
      <c r="J4486" s="1"/>
      <c r="L4486" s="1"/>
      <c r="M4486" s="1"/>
      <c r="O4486" s="2"/>
      <c r="P4486" s="2"/>
    </row>
    <row r="4487" spans="1:16" x14ac:dyDescent="0.25">
      <c r="A4487" s="2"/>
      <c r="B4487" s="2"/>
      <c r="F4487" s="1"/>
      <c r="G4487" s="1"/>
      <c r="I4487" s="1"/>
      <c r="J4487" s="1"/>
      <c r="L4487" s="1"/>
      <c r="M4487" s="1"/>
      <c r="O4487" s="2"/>
      <c r="P4487" s="2"/>
    </row>
    <row r="4488" spans="1:16" x14ac:dyDescent="0.25">
      <c r="A4488" s="2"/>
      <c r="B4488" s="2"/>
      <c r="F4488" s="1"/>
      <c r="G4488" s="1"/>
      <c r="I4488" s="1"/>
      <c r="J4488" s="1"/>
      <c r="L4488" s="1"/>
      <c r="M4488" s="1"/>
      <c r="O4488" s="2"/>
      <c r="P4488" s="2"/>
    </row>
    <row r="4489" spans="1:16" x14ac:dyDescent="0.25">
      <c r="A4489" s="2"/>
      <c r="B4489" s="2"/>
      <c r="F4489" s="1"/>
      <c r="G4489" s="1"/>
      <c r="I4489" s="1"/>
      <c r="J4489" s="1"/>
      <c r="L4489" s="1"/>
      <c r="M4489" s="1"/>
      <c r="O4489" s="2"/>
      <c r="P4489" s="2"/>
    </row>
    <row r="4490" spans="1:16" x14ac:dyDescent="0.25">
      <c r="A4490" s="2"/>
      <c r="B4490" s="2"/>
      <c r="F4490" s="1"/>
      <c r="G4490" s="1"/>
      <c r="I4490" s="1"/>
      <c r="J4490" s="1"/>
      <c r="L4490" s="1"/>
      <c r="M4490" s="1"/>
      <c r="O4490" s="2"/>
      <c r="P4490" s="2"/>
    </row>
    <row r="4491" spans="1:16" x14ac:dyDescent="0.25">
      <c r="A4491" s="2"/>
      <c r="B4491" s="2"/>
      <c r="F4491" s="1"/>
      <c r="G4491" s="1"/>
      <c r="I4491" s="1"/>
      <c r="J4491" s="1"/>
      <c r="L4491" s="1"/>
      <c r="M4491" s="1"/>
      <c r="O4491" s="2"/>
      <c r="P4491" s="2"/>
    </row>
    <row r="4492" spans="1:16" x14ac:dyDescent="0.25">
      <c r="A4492" s="2"/>
      <c r="B4492" s="2"/>
      <c r="F4492" s="1"/>
      <c r="G4492" s="1"/>
      <c r="I4492" s="1"/>
      <c r="J4492" s="1"/>
      <c r="L4492" s="1"/>
      <c r="M4492" s="1"/>
      <c r="O4492" s="2"/>
      <c r="P4492" s="2"/>
    </row>
    <row r="4493" spans="1:16" x14ac:dyDescent="0.25">
      <c r="A4493" s="2"/>
      <c r="B4493" s="2"/>
      <c r="F4493" s="1"/>
      <c r="G4493" s="1"/>
      <c r="I4493" s="1"/>
      <c r="J4493" s="1"/>
      <c r="L4493" s="1"/>
      <c r="M4493" s="1"/>
      <c r="O4493" s="2"/>
      <c r="P4493" s="2"/>
    </row>
    <row r="4494" spans="1:16" x14ac:dyDescent="0.25">
      <c r="A4494" s="2"/>
      <c r="B4494" s="2"/>
      <c r="F4494" s="1"/>
      <c r="G4494" s="1"/>
      <c r="I4494" s="1"/>
      <c r="J4494" s="1"/>
      <c r="L4494" s="1"/>
      <c r="M4494" s="1"/>
      <c r="O4494" s="2"/>
      <c r="P4494" s="2"/>
    </row>
    <row r="4495" spans="1:16" x14ac:dyDescent="0.25">
      <c r="A4495" s="2"/>
      <c r="B4495" s="2"/>
      <c r="F4495" s="1"/>
      <c r="G4495" s="1"/>
      <c r="I4495" s="1"/>
      <c r="J4495" s="1"/>
      <c r="L4495" s="1"/>
      <c r="M4495" s="1"/>
      <c r="O4495" s="2"/>
      <c r="P4495" s="2"/>
    </row>
    <row r="4496" spans="1:16" x14ac:dyDescent="0.25">
      <c r="A4496" s="2"/>
      <c r="B4496" s="2"/>
      <c r="F4496" s="1"/>
      <c r="G4496" s="1"/>
      <c r="I4496" s="1"/>
      <c r="J4496" s="1"/>
      <c r="L4496" s="1"/>
      <c r="M4496" s="1"/>
      <c r="O4496" s="2"/>
      <c r="P4496" s="2"/>
    </row>
    <row r="4497" spans="1:16" x14ac:dyDescent="0.25">
      <c r="A4497" s="2"/>
      <c r="B4497" s="2"/>
      <c r="F4497" s="1"/>
      <c r="G4497" s="1"/>
      <c r="I4497" s="1"/>
      <c r="J4497" s="1"/>
      <c r="L4497" s="1"/>
      <c r="M4497" s="1"/>
      <c r="O4497" s="2"/>
      <c r="P4497" s="2"/>
    </row>
    <row r="4498" spans="1:16" x14ac:dyDescent="0.25">
      <c r="A4498" s="2"/>
      <c r="B4498" s="2"/>
      <c r="F4498" s="1"/>
      <c r="G4498" s="1"/>
      <c r="I4498" s="1"/>
      <c r="J4498" s="1"/>
      <c r="L4498" s="1"/>
      <c r="M4498" s="1"/>
      <c r="O4498" s="2"/>
      <c r="P4498" s="2"/>
    </row>
    <row r="4499" spans="1:16" x14ac:dyDescent="0.25">
      <c r="A4499" s="2"/>
      <c r="B4499" s="2"/>
      <c r="F4499" s="1"/>
      <c r="G4499" s="1"/>
      <c r="I4499" s="1"/>
      <c r="J4499" s="1"/>
      <c r="L4499" s="1"/>
      <c r="M4499" s="1"/>
      <c r="O4499" s="2"/>
      <c r="P4499" s="2"/>
    </row>
    <row r="4500" spans="1:16" x14ac:dyDescent="0.25">
      <c r="A4500" s="2"/>
      <c r="B4500" s="2"/>
      <c r="F4500" s="1"/>
      <c r="G4500" s="1"/>
      <c r="I4500" s="1"/>
      <c r="J4500" s="1"/>
      <c r="L4500" s="1"/>
      <c r="M4500" s="1"/>
      <c r="O4500" s="2"/>
      <c r="P4500" s="2"/>
    </row>
    <row r="4501" spans="1:16" x14ac:dyDescent="0.25">
      <c r="A4501" s="2"/>
      <c r="B4501" s="2"/>
      <c r="F4501" s="1"/>
      <c r="G4501" s="1"/>
      <c r="I4501" s="1"/>
      <c r="J4501" s="1"/>
      <c r="L4501" s="1"/>
      <c r="M4501" s="1"/>
      <c r="O4501" s="2"/>
      <c r="P4501" s="2"/>
    </row>
    <row r="4502" spans="1:16" x14ac:dyDescent="0.25">
      <c r="A4502" s="2"/>
      <c r="B4502" s="2"/>
      <c r="F4502" s="1"/>
      <c r="G4502" s="1"/>
      <c r="I4502" s="1"/>
      <c r="J4502" s="1"/>
      <c r="L4502" s="1"/>
      <c r="M4502" s="1"/>
      <c r="O4502" s="2"/>
      <c r="P4502" s="2"/>
    </row>
    <row r="4503" spans="1:16" x14ac:dyDescent="0.25">
      <c r="A4503" s="2"/>
      <c r="B4503" s="2"/>
      <c r="F4503" s="1"/>
      <c r="G4503" s="1"/>
      <c r="I4503" s="1"/>
      <c r="J4503" s="1"/>
      <c r="L4503" s="1"/>
      <c r="M4503" s="1"/>
      <c r="O4503" s="2"/>
      <c r="P4503" s="2"/>
    </row>
    <row r="4504" spans="1:16" x14ac:dyDescent="0.25">
      <c r="A4504" s="2"/>
      <c r="B4504" s="2"/>
      <c r="F4504" s="1"/>
      <c r="G4504" s="1"/>
      <c r="I4504" s="1"/>
      <c r="J4504" s="1"/>
      <c r="L4504" s="1"/>
      <c r="M4504" s="1"/>
      <c r="O4504" s="2"/>
      <c r="P4504" s="2"/>
    </row>
    <row r="4505" spans="1:16" x14ac:dyDescent="0.25">
      <c r="A4505" s="2"/>
      <c r="B4505" s="2"/>
      <c r="F4505" s="1"/>
      <c r="G4505" s="1"/>
      <c r="I4505" s="1"/>
      <c r="J4505" s="1"/>
      <c r="L4505" s="1"/>
      <c r="M4505" s="1"/>
      <c r="O4505" s="2"/>
      <c r="P4505" s="2"/>
    </row>
    <row r="4506" spans="1:16" x14ac:dyDescent="0.25">
      <c r="A4506" s="2"/>
      <c r="B4506" s="2"/>
      <c r="F4506" s="1"/>
      <c r="G4506" s="1"/>
      <c r="I4506" s="1"/>
      <c r="J4506" s="1"/>
      <c r="L4506" s="1"/>
      <c r="M4506" s="1"/>
      <c r="O4506" s="2"/>
      <c r="P4506" s="2"/>
    </row>
    <row r="4507" spans="1:16" x14ac:dyDescent="0.25">
      <c r="A4507" s="2"/>
      <c r="B4507" s="2"/>
      <c r="F4507" s="1"/>
      <c r="G4507" s="1"/>
      <c r="I4507" s="1"/>
      <c r="J4507" s="1"/>
      <c r="L4507" s="1"/>
      <c r="M4507" s="1"/>
      <c r="O4507" s="2"/>
      <c r="P4507" s="2"/>
    </row>
    <row r="4508" spans="1:16" x14ac:dyDescent="0.25">
      <c r="A4508" s="2"/>
      <c r="B4508" s="2"/>
      <c r="F4508" s="1"/>
      <c r="G4508" s="1"/>
      <c r="I4508" s="1"/>
      <c r="J4508" s="1"/>
      <c r="L4508" s="1"/>
      <c r="M4508" s="1"/>
      <c r="O4508" s="2"/>
      <c r="P4508" s="2"/>
    </row>
    <row r="4509" spans="1:16" x14ac:dyDescent="0.25">
      <c r="A4509" s="2"/>
      <c r="B4509" s="2"/>
      <c r="F4509" s="1"/>
      <c r="G4509" s="1"/>
      <c r="I4509" s="1"/>
      <c r="J4509" s="1"/>
      <c r="L4509" s="1"/>
      <c r="M4509" s="1"/>
      <c r="O4509" s="2"/>
      <c r="P4509" s="2"/>
    </row>
    <row r="4510" spans="1:16" x14ac:dyDescent="0.25">
      <c r="A4510" s="2"/>
      <c r="B4510" s="2"/>
      <c r="F4510" s="1"/>
      <c r="G4510" s="1"/>
      <c r="I4510" s="1"/>
      <c r="J4510" s="1"/>
      <c r="L4510" s="1"/>
      <c r="M4510" s="1"/>
      <c r="O4510" s="2"/>
      <c r="P4510" s="2"/>
    </row>
    <row r="4511" spans="1:16" x14ac:dyDescent="0.25">
      <c r="A4511" s="2"/>
      <c r="B4511" s="2"/>
      <c r="F4511" s="1"/>
      <c r="G4511" s="1"/>
      <c r="I4511" s="1"/>
      <c r="J4511" s="1"/>
      <c r="L4511" s="1"/>
      <c r="M4511" s="1"/>
      <c r="O4511" s="2"/>
      <c r="P4511" s="2"/>
    </row>
    <row r="4512" spans="1:16" x14ac:dyDescent="0.25">
      <c r="A4512" s="2"/>
      <c r="B4512" s="2"/>
      <c r="F4512" s="1"/>
      <c r="G4512" s="1"/>
      <c r="I4512" s="1"/>
      <c r="J4512" s="1"/>
      <c r="L4512" s="1"/>
      <c r="M4512" s="1"/>
      <c r="O4512" s="2"/>
      <c r="P4512" s="2"/>
    </row>
    <row r="4513" spans="1:16" x14ac:dyDescent="0.25">
      <c r="A4513" s="2"/>
      <c r="B4513" s="2"/>
      <c r="F4513" s="1"/>
      <c r="G4513" s="1"/>
      <c r="I4513" s="1"/>
      <c r="J4513" s="1"/>
      <c r="L4513" s="1"/>
      <c r="M4513" s="1"/>
      <c r="O4513" s="2"/>
      <c r="P4513" s="2"/>
    </row>
    <row r="4514" spans="1:16" x14ac:dyDescent="0.25">
      <c r="A4514" s="2"/>
      <c r="B4514" s="2"/>
      <c r="F4514" s="1"/>
      <c r="G4514" s="1"/>
      <c r="I4514" s="1"/>
      <c r="J4514" s="1"/>
      <c r="L4514" s="1"/>
      <c r="M4514" s="1"/>
      <c r="O4514" s="2"/>
      <c r="P4514" s="2"/>
    </row>
    <row r="4515" spans="1:16" x14ac:dyDescent="0.25">
      <c r="A4515" s="2"/>
      <c r="B4515" s="2"/>
      <c r="F4515" s="1"/>
      <c r="G4515" s="1"/>
      <c r="I4515" s="1"/>
      <c r="J4515" s="1"/>
      <c r="L4515" s="1"/>
      <c r="M4515" s="1"/>
      <c r="O4515" s="2"/>
      <c r="P4515" s="2"/>
    </row>
    <row r="4516" spans="1:16" x14ac:dyDescent="0.25">
      <c r="A4516" s="2"/>
      <c r="B4516" s="2"/>
      <c r="F4516" s="1"/>
      <c r="G4516" s="1"/>
      <c r="I4516" s="1"/>
      <c r="J4516" s="1"/>
      <c r="L4516" s="1"/>
      <c r="M4516" s="1"/>
      <c r="O4516" s="2"/>
      <c r="P4516" s="2"/>
    </row>
    <row r="4517" spans="1:16" x14ac:dyDescent="0.25">
      <c r="A4517" s="2"/>
      <c r="B4517" s="2"/>
      <c r="F4517" s="1"/>
      <c r="G4517" s="1"/>
      <c r="I4517" s="1"/>
      <c r="J4517" s="1"/>
      <c r="L4517" s="1"/>
      <c r="M4517" s="1"/>
      <c r="O4517" s="2"/>
      <c r="P4517" s="2"/>
    </row>
    <row r="4518" spans="1:16" x14ac:dyDescent="0.25">
      <c r="A4518" s="2"/>
      <c r="B4518" s="2"/>
      <c r="F4518" s="1"/>
      <c r="G4518" s="1"/>
      <c r="I4518" s="1"/>
      <c r="J4518" s="1"/>
      <c r="L4518" s="1"/>
      <c r="M4518" s="1"/>
      <c r="O4518" s="2"/>
      <c r="P4518" s="2"/>
    </row>
    <row r="4519" spans="1:16" x14ac:dyDescent="0.25">
      <c r="A4519" s="2"/>
      <c r="B4519" s="2"/>
      <c r="F4519" s="1"/>
      <c r="G4519" s="1"/>
      <c r="I4519" s="1"/>
      <c r="J4519" s="1"/>
      <c r="L4519" s="1"/>
      <c r="M4519" s="1"/>
      <c r="O4519" s="2"/>
      <c r="P4519" s="2"/>
    </row>
    <row r="4520" spans="1:16" x14ac:dyDescent="0.25">
      <c r="A4520" s="2"/>
      <c r="B4520" s="2"/>
      <c r="F4520" s="1"/>
      <c r="G4520" s="1"/>
      <c r="I4520" s="1"/>
      <c r="J4520" s="1"/>
      <c r="L4520" s="1"/>
      <c r="M4520" s="1"/>
      <c r="O4520" s="2"/>
      <c r="P4520" s="2"/>
    </row>
    <row r="4521" spans="1:16" x14ac:dyDescent="0.25">
      <c r="A4521" s="2"/>
      <c r="B4521" s="2"/>
      <c r="F4521" s="1"/>
      <c r="G4521" s="1"/>
      <c r="I4521" s="1"/>
      <c r="J4521" s="1"/>
      <c r="L4521" s="1"/>
      <c r="M4521" s="1"/>
      <c r="O4521" s="2"/>
      <c r="P4521" s="2"/>
    </row>
    <row r="4522" spans="1:16" x14ac:dyDescent="0.25">
      <c r="A4522" s="2"/>
      <c r="B4522" s="2"/>
      <c r="F4522" s="1"/>
      <c r="G4522" s="1"/>
      <c r="I4522" s="1"/>
      <c r="J4522" s="1"/>
      <c r="L4522" s="1"/>
      <c r="M4522" s="1"/>
      <c r="O4522" s="2"/>
      <c r="P4522" s="2"/>
    </row>
    <row r="4523" spans="1:16" x14ac:dyDescent="0.25">
      <c r="A4523" s="2"/>
      <c r="B4523" s="2"/>
      <c r="F4523" s="1"/>
      <c r="G4523" s="1"/>
      <c r="I4523" s="1"/>
      <c r="J4523" s="1"/>
      <c r="L4523" s="1"/>
      <c r="M4523" s="1"/>
      <c r="O4523" s="2"/>
      <c r="P4523" s="2"/>
    </row>
    <row r="4524" spans="1:16" x14ac:dyDescent="0.25">
      <c r="A4524" s="2"/>
      <c r="B4524" s="2"/>
      <c r="F4524" s="1"/>
      <c r="G4524" s="1"/>
      <c r="I4524" s="1"/>
      <c r="J4524" s="1"/>
      <c r="L4524" s="1"/>
      <c r="M4524" s="1"/>
      <c r="O4524" s="2"/>
      <c r="P4524" s="2"/>
    </row>
    <row r="4525" spans="1:16" x14ac:dyDescent="0.25">
      <c r="A4525" s="2"/>
      <c r="B4525" s="2"/>
      <c r="F4525" s="1"/>
      <c r="G4525" s="1"/>
      <c r="I4525" s="1"/>
      <c r="J4525" s="1"/>
      <c r="L4525" s="1"/>
      <c r="M4525" s="1"/>
      <c r="O4525" s="2"/>
      <c r="P4525" s="2"/>
    </row>
    <row r="4526" spans="1:16" x14ac:dyDescent="0.25">
      <c r="A4526" s="2"/>
      <c r="B4526" s="2"/>
      <c r="F4526" s="1"/>
      <c r="G4526" s="1"/>
      <c r="I4526" s="1"/>
      <c r="J4526" s="1"/>
      <c r="L4526" s="1"/>
      <c r="M4526" s="1"/>
      <c r="O4526" s="2"/>
      <c r="P4526" s="2"/>
    </row>
    <row r="4527" spans="1:16" x14ac:dyDescent="0.25">
      <c r="A4527" s="2"/>
      <c r="B4527" s="2"/>
      <c r="F4527" s="1"/>
      <c r="G4527" s="1"/>
      <c r="I4527" s="1"/>
      <c r="J4527" s="1"/>
      <c r="L4527" s="1"/>
      <c r="M4527" s="1"/>
      <c r="O4527" s="2"/>
      <c r="P4527" s="2"/>
    </row>
    <row r="4528" spans="1:16" x14ac:dyDescent="0.25">
      <c r="A4528" s="2"/>
      <c r="B4528" s="2"/>
      <c r="F4528" s="1"/>
      <c r="G4528" s="1"/>
      <c r="I4528" s="1"/>
      <c r="J4528" s="1"/>
      <c r="L4528" s="1"/>
      <c r="M4528" s="1"/>
      <c r="O4528" s="2"/>
      <c r="P4528" s="2"/>
    </row>
    <row r="4529" spans="1:16" x14ac:dyDescent="0.25">
      <c r="A4529" s="2"/>
      <c r="B4529" s="2"/>
      <c r="F4529" s="1"/>
      <c r="G4529" s="1"/>
      <c r="I4529" s="1"/>
      <c r="J4529" s="1"/>
      <c r="L4529" s="1"/>
      <c r="M4529" s="1"/>
      <c r="O4529" s="2"/>
      <c r="P4529" s="2"/>
    </row>
    <row r="4530" spans="1:16" x14ac:dyDescent="0.25">
      <c r="A4530" s="2"/>
      <c r="B4530" s="2"/>
      <c r="F4530" s="1"/>
      <c r="G4530" s="1"/>
      <c r="I4530" s="1"/>
      <c r="J4530" s="1"/>
      <c r="L4530" s="1"/>
      <c r="M4530" s="1"/>
      <c r="O4530" s="2"/>
      <c r="P4530" s="2"/>
    </row>
    <row r="4531" spans="1:16" x14ac:dyDescent="0.25">
      <c r="A4531" s="2"/>
      <c r="B4531" s="2"/>
      <c r="F4531" s="1"/>
      <c r="G4531" s="1"/>
      <c r="I4531" s="1"/>
      <c r="J4531" s="1"/>
      <c r="L4531" s="1"/>
      <c r="M4531" s="1"/>
      <c r="O4531" s="2"/>
      <c r="P4531" s="2"/>
    </row>
    <row r="4532" spans="1:16" x14ac:dyDescent="0.25">
      <c r="A4532" s="2"/>
      <c r="B4532" s="2"/>
      <c r="F4532" s="1"/>
      <c r="G4532" s="1"/>
      <c r="I4532" s="1"/>
      <c r="J4532" s="1"/>
      <c r="L4532" s="1"/>
      <c r="M4532" s="1"/>
      <c r="O4532" s="2"/>
      <c r="P4532" s="2"/>
    </row>
    <row r="4533" spans="1:16" x14ac:dyDescent="0.25">
      <c r="A4533" s="2"/>
      <c r="B4533" s="2"/>
      <c r="F4533" s="1"/>
      <c r="G4533" s="1"/>
      <c r="I4533" s="1"/>
      <c r="J4533" s="1"/>
      <c r="L4533" s="1"/>
      <c r="M4533" s="1"/>
      <c r="O4533" s="2"/>
      <c r="P4533" s="2"/>
    </row>
    <row r="4534" spans="1:16" x14ac:dyDescent="0.25">
      <c r="A4534" s="2"/>
      <c r="B4534" s="2"/>
      <c r="F4534" s="1"/>
      <c r="G4534" s="1"/>
      <c r="I4534" s="1"/>
      <c r="J4534" s="1"/>
      <c r="L4534" s="1"/>
      <c r="M4534" s="1"/>
      <c r="O4534" s="2"/>
      <c r="P4534" s="2"/>
    </row>
    <row r="4535" spans="1:16" x14ac:dyDescent="0.25">
      <c r="A4535" s="2"/>
      <c r="B4535" s="2"/>
      <c r="F4535" s="1"/>
      <c r="G4535" s="1"/>
      <c r="I4535" s="1"/>
      <c r="J4535" s="1"/>
      <c r="L4535" s="1"/>
      <c r="M4535" s="1"/>
      <c r="O4535" s="2"/>
      <c r="P4535" s="2"/>
    </row>
    <row r="4536" spans="1:16" x14ac:dyDescent="0.25">
      <c r="A4536" s="2"/>
      <c r="B4536" s="2"/>
      <c r="F4536" s="1"/>
      <c r="G4536" s="1"/>
      <c r="I4536" s="1"/>
      <c r="J4536" s="1"/>
      <c r="L4536" s="1"/>
      <c r="M4536" s="1"/>
      <c r="O4536" s="2"/>
      <c r="P4536" s="2"/>
    </row>
    <row r="4537" spans="1:16" x14ac:dyDescent="0.25">
      <c r="A4537" s="2"/>
      <c r="B4537" s="2"/>
      <c r="F4537" s="1"/>
      <c r="G4537" s="1"/>
      <c r="I4537" s="1"/>
      <c r="J4537" s="1"/>
      <c r="L4537" s="1"/>
      <c r="M4537" s="1"/>
      <c r="O4537" s="2"/>
      <c r="P4537" s="2"/>
    </row>
    <row r="4538" spans="1:16" x14ac:dyDescent="0.25">
      <c r="A4538" s="2"/>
      <c r="B4538" s="2"/>
      <c r="F4538" s="1"/>
      <c r="G4538" s="1"/>
      <c r="I4538" s="1"/>
      <c r="J4538" s="1"/>
      <c r="L4538" s="1"/>
      <c r="M4538" s="1"/>
      <c r="O4538" s="2"/>
      <c r="P4538" s="2"/>
    </row>
    <row r="4539" spans="1:16" x14ac:dyDescent="0.25">
      <c r="A4539" s="2"/>
      <c r="B4539" s="2"/>
      <c r="F4539" s="1"/>
      <c r="G4539" s="1"/>
      <c r="I4539" s="1"/>
      <c r="J4539" s="1"/>
      <c r="L4539" s="1"/>
      <c r="M4539" s="1"/>
      <c r="O4539" s="2"/>
      <c r="P4539" s="2"/>
    </row>
    <row r="4540" spans="1:16" x14ac:dyDescent="0.25">
      <c r="A4540" s="2"/>
      <c r="B4540" s="2"/>
      <c r="F4540" s="1"/>
      <c r="G4540" s="1"/>
      <c r="I4540" s="1"/>
      <c r="J4540" s="1"/>
      <c r="L4540" s="1"/>
      <c r="M4540" s="1"/>
      <c r="O4540" s="2"/>
      <c r="P4540" s="2"/>
    </row>
    <row r="4541" spans="1:16" x14ac:dyDescent="0.25">
      <c r="A4541" s="2"/>
      <c r="B4541" s="2"/>
      <c r="F4541" s="1"/>
      <c r="G4541" s="1"/>
      <c r="I4541" s="1"/>
      <c r="J4541" s="1"/>
      <c r="L4541" s="1"/>
      <c r="M4541" s="1"/>
      <c r="O4541" s="2"/>
      <c r="P4541" s="2"/>
    </row>
    <row r="4542" spans="1:16" x14ac:dyDescent="0.25">
      <c r="A4542" s="2"/>
      <c r="B4542" s="2"/>
      <c r="F4542" s="1"/>
      <c r="G4542" s="1"/>
      <c r="I4542" s="1"/>
      <c r="J4542" s="1"/>
      <c r="L4542" s="1"/>
      <c r="M4542" s="1"/>
      <c r="O4542" s="2"/>
      <c r="P4542" s="2"/>
    </row>
    <row r="4543" spans="1:16" x14ac:dyDescent="0.25">
      <c r="A4543" s="2"/>
      <c r="B4543" s="2"/>
      <c r="F4543" s="1"/>
      <c r="G4543" s="1"/>
      <c r="I4543" s="1"/>
      <c r="J4543" s="1"/>
      <c r="L4543" s="1"/>
      <c r="M4543" s="1"/>
      <c r="O4543" s="2"/>
      <c r="P4543" s="2"/>
    </row>
    <row r="4544" spans="1:16" x14ac:dyDescent="0.25">
      <c r="A4544" s="2"/>
      <c r="B4544" s="2"/>
      <c r="F4544" s="1"/>
      <c r="G4544" s="1"/>
      <c r="I4544" s="1"/>
      <c r="J4544" s="1"/>
      <c r="L4544" s="1"/>
      <c r="M4544" s="1"/>
      <c r="O4544" s="2"/>
      <c r="P4544" s="2"/>
    </row>
    <row r="4545" spans="1:16" x14ac:dyDescent="0.25">
      <c r="A4545" s="2"/>
      <c r="B4545" s="2"/>
      <c r="F4545" s="1"/>
      <c r="G4545" s="1"/>
      <c r="I4545" s="1"/>
      <c r="J4545" s="1"/>
      <c r="L4545" s="1"/>
      <c r="M4545" s="1"/>
      <c r="O4545" s="2"/>
      <c r="P4545" s="2"/>
    </row>
    <row r="4546" spans="1:16" x14ac:dyDescent="0.25">
      <c r="A4546" s="2"/>
      <c r="B4546" s="2"/>
      <c r="F4546" s="1"/>
      <c r="G4546" s="1"/>
      <c r="I4546" s="1"/>
      <c r="J4546" s="1"/>
      <c r="L4546" s="1"/>
      <c r="M4546" s="1"/>
      <c r="O4546" s="2"/>
      <c r="P4546" s="2"/>
    </row>
    <row r="4547" spans="1:16" x14ac:dyDescent="0.25">
      <c r="A4547" s="2"/>
      <c r="B4547" s="2"/>
      <c r="F4547" s="1"/>
      <c r="G4547" s="1"/>
      <c r="I4547" s="1"/>
      <c r="J4547" s="1"/>
      <c r="L4547" s="1"/>
      <c r="M4547" s="1"/>
      <c r="O4547" s="2"/>
      <c r="P4547" s="2"/>
    </row>
    <row r="4548" spans="1:16" x14ac:dyDescent="0.25">
      <c r="A4548" s="2"/>
      <c r="B4548" s="2"/>
      <c r="F4548" s="1"/>
      <c r="G4548" s="1"/>
      <c r="I4548" s="1"/>
      <c r="J4548" s="1"/>
      <c r="L4548" s="1"/>
      <c r="M4548" s="1"/>
      <c r="O4548" s="2"/>
      <c r="P4548" s="2"/>
    </row>
    <row r="4549" spans="1:16" x14ac:dyDescent="0.25">
      <c r="A4549" s="2"/>
      <c r="B4549" s="2"/>
      <c r="F4549" s="1"/>
      <c r="G4549" s="1"/>
      <c r="I4549" s="1"/>
      <c r="J4549" s="1"/>
      <c r="L4549" s="1"/>
      <c r="M4549" s="1"/>
      <c r="O4549" s="2"/>
      <c r="P4549" s="2"/>
    </row>
    <row r="4550" spans="1:16" x14ac:dyDescent="0.25">
      <c r="A4550" s="2"/>
      <c r="B4550" s="2"/>
      <c r="F4550" s="1"/>
      <c r="G4550" s="1"/>
      <c r="I4550" s="1"/>
      <c r="J4550" s="1"/>
      <c r="L4550" s="1"/>
      <c r="M4550" s="1"/>
      <c r="O4550" s="2"/>
      <c r="P4550" s="2"/>
    </row>
    <row r="4551" spans="1:16" x14ac:dyDescent="0.25">
      <c r="A4551" s="2"/>
      <c r="B4551" s="2"/>
      <c r="F4551" s="1"/>
      <c r="G4551" s="1"/>
      <c r="I4551" s="1"/>
      <c r="J4551" s="1"/>
      <c r="L4551" s="1"/>
      <c r="M4551" s="1"/>
      <c r="O4551" s="2"/>
      <c r="P4551" s="2"/>
    </row>
    <row r="4552" spans="1:16" x14ac:dyDescent="0.25">
      <c r="A4552" s="2"/>
      <c r="B4552" s="2"/>
      <c r="F4552" s="1"/>
      <c r="G4552" s="1"/>
      <c r="I4552" s="1"/>
      <c r="J4552" s="1"/>
      <c r="L4552" s="1"/>
      <c r="M4552" s="1"/>
      <c r="O4552" s="2"/>
      <c r="P4552" s="2"/>
    </row>
    <row r="4553" spans="1:16" x14ac:dyDescent="0.25">
      <c r="A4553" s="2"/>
      <c r="B4553" s="2"/>
      <c r="F4553" s="1"/>
      <c r="G4553" s="1"/>
      <c r="I4553" s="1"/>
      <c r="J4553" s="1"/>
      <c r="L4553" s="1"/>
      <c r="M4553" s="1"/>
      <c r="O4553" s="2"/>
      <c r="P4553" s="2"/>
    </row>
    <row r="4554" spans="1:16" x14ac:dyDescent="0.25">
      <c r="A4554" s="2"/>
      <c r="B4554" s="2"/>
      <c r="F4554" s="1"/>
      <c r="G4554" s="1"/>
      <c r="I4554" s="1"/>
      <c r="J4554" s="1"/>
      <c r="L4554" s="1"/>
      <c r="M4554" s="1"/>
      <c r="O4554" s="2"/>
      <c r="P4554" s="2"/>
    </row>
    <row r="4555" spans="1:16" x14ac:dyDescent="0.25">
      <c r="A4555" s="2"/>
      <c r="B4555" s="2"/>
      <c r="F4555" s="1"/>
      <c r="G4555" s="1"/>
      <c r="I4555" s="1"/>
      <c r="J4555" s="1"/>
      <c r="L4555" s="1"/>
      <c r="M4555" s="1"/>
      <c r="O4555" s="2"/>
      <c r="P4555" s="2"/>
    </row>
    <row r="4556" spans="1:16" x14ac:dyDescent="0.25">
      <c r="A4556" s="2"/>
      <c r="B4556" s="2"/>
      <c r="F4556" s="1"/>
      <c r="G4556" s="1"/>
      <c r="I4556" s="1"/>
      <c r="J4556" s="1"/>
      <c r="L4556" s="1"/>
      <c r="M4556" s="1"/>
      <c r="O4556" s="2"/>
      <c r="P4556" s="2"/>
    </row>
    <row r="4557" spans="1:16" x14ac:dyDescent="0.25">
      <c r="A4557" s="2"/>
      <c r="B4557" s="2"/>
      <c r="F4557" s="1"/>
      <c r="G4557" s="1"/>
      <c r="I4557" s="1"/>
      <c r="J4557" s="1"/>
      <c r="L4557" s="1"/>
      <c r="M4557" s="1"/>
      <c r="O4557" s="2"/>
      <c r="P4557" s="2"/>
    </row>
    <row r="4558" spans="1:16" x14ac:dyDescent="0.25">
      <c r="A4558" s="2"/>
      <c r="B4558" s="2"/>
      <c r="F4558" s="1"/>
      <c r="G4558" s="1"/>
      <c r="I4558" s="1"/>
      <c r="J4558" s="1"/>
      <c r="L4558" s="1"/>
      <c r="M4558" s="1"/>
      <c r="O4558" s="2"/>
      <c r="P4558" s="2"/>
    </row>
    <row r="4559" spans="1:16" x14ac:dyDescent="0.25">
      <c r="A4559" s="2"/>
      <c r="B4559" s="2"/>
      <c r="F4559" s="1"/>
      <c r="G4559" s="1"/>
      <c r="I4559" s="1"/>
      <c r="J4559" s="1"/>
      <c r="L4559" s="1"/>
      <c r="M4559" s="1"/>
      <c r="O4559" s="2"/>
      <c r="P4559" s="2"/>
    </row>
    <row r="4560" spans="1:16" x14ac:dyDescent="0.25">
      <c r="A4560" s="2"/>
      <c r="B4560" s="2"/>
      <c r="F4560" s="1"/>
      <c r="G4560" s="1"/>
      <c r="I4560" s="1"/>
      <c r="J4560" s="1"/>
      <c r="L4560" s="1"/>
      <c r="M4560" s="1"/>
      <c r="O4560" s="2"/>
      <c r="P4560" s="2"/>
    </row>
    <row r="4561" spans="1:16" x14ac:dyDescent="0.25">
      <c r="A4561" s="2"/>
      <c r="B4561" s="2"/>
      <c r="F4561" s="1"/>
      <c r="G4561" s="1"/>
      <c r="I4561" s="1"/>
      <c r="J4561" s="1"/>
      <c r="L4561" s="1"/>
      <c r="M4561" s="1"/>
      <c r="O4561" s="2"/>
      <c r="P4561" s="2"/>
    </row>
    <row r="4562" spans="1:16" x14ac:dyDescent="0.25">
      <c r="A4562" s="2"/>
      <c r="B4562" s="2"/>
      <c r="F4562" s="1"/>
      <c r="G4562" s="1"/>
      <c r="I4562" s="1"/>
      <c r="J4562" s="1"/>
      <c r="L4562" s="1"/>
      <c r="M4562" s="1"/>
      <c r="O4562" s="2"/>
      <c r="P4562" s="2"/>
    </row>
    <row r="4563" spans="1:16" x14ac:dyDescent="0.25">
      <c r="A4563" s="2"/>
      <c r="B4563" s="2"/>
      <c r="F4563" s="1"/>
      <c r="G4563" s="1"/>
      <c r="I4563" s="1"/>
      <c r="J4563" s="1"/>
      <c r="L4563" s="1"/>
      <c r="M4563" s="1"/>
      <c r="O4563" s="2"/>
      <c r="P4563" s="2"/>
    </row>
    <row r="4564" spans="1:16" x14ac:dyDescent="0.25">
      <c r="A4564" s="2"/>
      <c r="B4564" s="2"/>
      <c r="F4564" s="1"/>
      <c r="G4564" s="1"/>
      <c r="I4564" s="1"/>
      <c r="J4564" s="1"/>
      <c r="L4564" s="1"/>
      <c r="M4564" s="1"/>
      <c r="O4564" s="2"/>
      <c r="P4564" s="2"/>
    </row>
    <row r="4565" spans="1:16" x14ac:dyDescent="0.25">
      <c r="A4565" s="2"/>
      <c r="B4565" s="2"/>
      <c r="F4565" s="1"/>
      <c r="G4565" s="1"/>
      <c r="I4565" s="1"/>
      <c r="J4565" s="1"/>
      <c r="L4565" s="1"/>
      <c r="M4565" s="1"/>
      <c r="O4565" s="2"/>
      <c r="P4565" s="2"/>
    </row>
    <row r="4566" spans="1:16" x14ac:dyDescent="0.25">
      <c r="A4566" s="2"/>
      <c r="B4566" s="2"/>
      <c r="F4566" s="1"/>
      <c r="G4566" s="1"/>
      <c r="I4566" s="1"/>
      <c r="J4566" s="1"/>
      <c r="L4566" s="1"/>
      <c r="M4566" s="1"/>
      <c r="O4566" s="2"/>
      <c r="P4566" s="2"/>
    </row>
    <row r="4567" spans="1:16" x14ac:dyDescent="0.25">
      <c r="A4567" s="2"/>
      <c r="B4567" s="2"/>
      <c r="F4567" s="1"/>
      <c r="G4567" s="1"/>
      <c r="I4567" s="1"/>
      <c r="J4567" s="1"/>
      <c r="L4567" s="1"/>
      <c r="M4567" s="1"/>
      <c r="O4567" s="2"/>
      <c r="P4567" s="2"/>
    </row>
    <row r="4568" spans="1:16" x14ac:dyDescent="0.25">
      <c r="A4568" s="2"/>
      <c r="B4568" s="2"/>
      <c r="F4568" s="1"/>
      <c r="G4568" s="1"/>
      <c r="I4568" s="1"/>
      <c r="J4568" s="1"/>
      <c r="L4568" s="1"/>
      <c r="M4568" s="1"/>
      <c r="O4568" s="2"/>
      <c r="P4568" s="2"/>
    </row>
    <row r="4569" spans="1:16" x14ac:dyDescent="0.25">
      <c r="A4569" s="2"/>
      <c r="B4569" s="2"/>
      <c r="F4569" s="1"/>
      <c r="G4569" s="1"/>
      <c r="I4569" s="1"/>
      <c r="J4569" s="1"/>
      <c r="L4569" s="1"/>
      <c r="M4569" s="1"/>
      <c r="O4569" s="2"/>
      <c r="P4569" s="2"/>
    </row>
    <row r="4570" spans="1:16" x14ac:dyDescent="0.25">
      <c r="A4570" s="2"/>
      <c r="B4570" s="2"/>
      <c r="F4570" s="1"/>
      <c r="G4570" s="1"/>
      <c r="I4570" s="1"/>
      <c r="J4570" s="1"/>
      <c r="L4570" s="1"/>
      <c r="M4570" s="1"/>
      <c r="O4570" s="2"/>
      <c r="P4570" s="2"/>
    </row>
    <row r="4571" spans="1:16" x14ac:dyDescent="0.25">
      <c r="A4571" s="2"/>
      <c r="B4571" s="2"/>
      <c r="F4571" s="1"/>
      <c r="G4571" s="1"/>
      <c r="I4571" s="1"/>
      <c r="J4571" s="1"/>
      <c r="L4571" s="1"/>
      <c r="M4571" s="1"/>
      <c r="O4571" s="2"/>
      <c r="P4571" s="2"/>
    </row>
    <row r="4572" spans="1:16" x14ac:dyDescent="0.25">
      <c r="A4572" s="2"/>
      <c r="B4572" s="2"/>
      <c r="F4572" s="1"/>
      <c r="G4572" s="1"/>
      <c r="I4572" s="1"/>
      <c r="J4572" s="1"/>
      <c r="L4572" s="1"/>
      <c r="M4572" s="1"/>
      <c r="O4572" s="2"/>
      <c r="P4572" s="2"/>
    </row>
    <row r="4573" spans="1:16" x14ac:dyDescent="0.25">
      <c r="A4573" s="2"/>
      <c r="B4573" s="2"/>
      <c r="F4573" s="1"/>
      <c r="G4573" s="1"/>
      <c r="I4573" s="1"/>
      <c r="J4573" s="1"/>
      <c r="L4573" s="1"/>
      <c r="M4573" s="1"/>
      <c r="O4573" s="2"/>
      <c r="P4573" s="2"/>
    </row>
    <row r="4574" spans="1:16" x14ac:dyDescent="0.25">
      <c r="A4574" s="2"/>
      <c r="B4574" s="2"/>
      <c r="F4574" s="1"/>
      <c r="G4574" s="1"/>
      <c r="I4574" s="1"/>
      <c r="J4574" s="1"/>
      <c r="L4574" s="1"/>
      <c r="M4574" s="1"/>
      <c r="O4574" s="2"/>
      <c r="P4574" s="2"/>
    </row>
    <row r="4575" spans="1:16" x14ac:dyDescent="0.25">
      <c r="A4575" s="2"/>
      <c r="B4575" s="2"/>
      <c r="F4575" s="1"/>
      <c r="G4575" s="1"/>
      <c r="I4575" s="1"/>
      <c r="J4575" s="1"/>
      <c r="L4575" s="1"/>
      <c r="M4575" s="1"/>
      <c r="O4575" s="2"/>
      <c r="P4575" s="2"/>
    </row>
    <row r="4576" spans="1:16" x14ac:dyDescent="0.25">
      <c r="A4576" s="2"/>
      <c r="B4576" s="2"/>
      <c r="F4576" s="1"/>
      <c r="G4576" s="1"/>
      <c r="I4576" s="1"/>
      <c r="J4576" s="1"/>
      <c r="L4576" s="1"/>
      <c r="M4576" s="1"/>
      <c r="O4576" s="2"/>
      <c r="P4576" s="2"/>
    </row>
    <row r="4577" spans="1:16" x14ac:dyDescent="0.25">
      <c r="A4577" s="2"/>
      <c r="B4577" s="2"/>
      <c r="F4577" s="1"/>
      <c r="G4577" s="1"/>
      <c r="I4577" s="1"/>
      <c r="J4577" s="1"/>
      <c r="L4577" s="1"/>
      <c r="M4577" s="1"/>
      <c r="O4577" s="2"/>
      <c r="P4577" s="2"/>
    </row>
    <row r="4578" spans="1:16" x14ac:dyDescent="0.25">
      <c r="A4578" s="2"/>
      <c r="B4578" s="2"/>
      <c r="F4578" s="1"/>
      <c r="G4578" s="1"/>
      <c r="I4578" s="1"/>
      <c r="J4578" s="1"/>
      <c r="L4578" s="1"/>
      <c r="M4578" s="1"/>
      <c r="O4578" s="2"/>
      <c r="P4578" s="2"/>
    </row>
    <row r="4579" spans="1:16" x14ac:dyDescent="0.25">
      <c r="A4579" s="2"/>
      <c r="B4579" s="2"/>
      <c r="F4579" s="1"/>
      <c r="G4579" s="1"/>
      <c r="I4579" s="1"/>
      <c r="J4579" s="1"/>
      <c r="L4579" s="1"/>
      <c r="M4579" s="1"/>
      <c r="O4579" s="2"/>
      <c r="P4579" s="2"/>
    </row>
    <row r="4580" spans="1:16" x14ac:dyDescent="0.25">
      <c r="A4580" s="2"/>
      <c r="B4580" s="2"/>
      <c r="F4580" s="1"/>
      <c r="G4580" s="1"/>
      <c r="I4580" s="1"/>
      <c r="J4580" s="1"/>
      <c r="L4580" s="1"/>
      <c r="M4580" s="1"/>
      <c r="O4580" s="2"/>
      <c r="P4580" s="2"/>
    </row>
    <row r="4581" spans="1:16" x14ac:dyDescent="0.25">
      <c r="A4581" s="2"/>
      <c r="B4581" s="2"/>
      <c r="F4581" s="1"/>
      <c r="G4581" s="1"/>
      <c r="I4581" s="1"/>
      <c r="J4581" s="1"/>
      <c r="L4581" s="1"/>
      <c r="M4581" s="1"/>
      <c r="O4581" s="2"/>
      <c r="P4581" s="2"/>
    </row>
    <row r="4582" spans="1:16" x14ac:dyDescent="0.25">
      <c r="A4582" s="2"/>
      <c r="B4582" s="2"/>
      <c r="F4582" s="1"/>
      <c r="G4582" s="1"/>
      <c r="I4582" s="1"/>
      <c r="J4582" s="1"/>
      <c r="L4582" s="1"/>
      <c r="M4582" s="1"/>
      <c r="O4582" s="2"/>
      <c r="P4582" s="2"/>
    </row>
    <row r="4583" spans="1:16" x14ac:dyDescent="0.25">
      <c r="A4583" s="2"/>
      <c r="B4583" s="2"/>
      <c r="F4583" s="1"/>
      <c r="G4583" s="1"/>
      <c r="I4583" s="1"/>
      <c r="J4583" s="1"/>
      <c r="L4583" s="1"/>
      <c r="M4583" s="1"/>
      <c r="O4583" s="2"/>
      <c r="P4583" s="2"/>
    </row>
    <row r="4584" spans="1:16" x14ac:dyDescent="0.25">
      <c r="A4584" s="2"/>
      <c r="B4584" s="2"/>
      <c r="F4584" s="1"/>
      <c r="G4584" s="1"/>
      <c r="I4584" s="1"/>
      <c r="J4584" s="1"/>
      <c r="L4584" s="1"/>
      <c r="M4584" s="1"/>
      <c r="O4584" s="2"/>
      <c r="P4584" s="2"/>
    </row>
    <row r="4585" spans="1:16" x14ac:dyDescent="0.25">
      <c r="A4585" s="2"/>
      <c r="B4585" s="2"/>
      <c r="F4585" s="1"/>
      <c r="G4585" s="1"/>
      <c r="I4585" s="1"/>
      <c r="J4585" s="1"/>
      <c r="L4585" s="1"/>
      <c r="M4585" s="1"/>
      <c r="O4585" s="2"/>
      <c r="P4585" s="2"/>
    </row>
    <row r="4586" spans="1:16" x14ac:dyDescent="0.25">
      <c r="A4586" s="2"/>
      <c r="B4586" s="2"/>
      <c r="F4586" s="1"/>
      <c r="G4586" s="1"/>
      <c r="I4586" s="1"/>
      <c r="J4586" s="1"/>
      <c r="L4586" s="1"/>
      <c r="M4586" s="1"/>
      <c r="O4586" s="2"/>
      <c r="P4586" s="2"/>
    </row>
    <row r="4587" spans="1:16" x14ac:dyDescent="0.25">
      <c r="A4587" s="2"/>
      <c r="B4587" s="2"/>
      <c r="F4587" s="1"/>
      <c r="G4587" s="1"/>
      <c r="I4587" s="1"/>
      <c r="J4587" s="1"/>
      <c r="L4587" s="1"/>
      <c r="M4587" s="1"/>
      <c r="O4587" s="2"/>
      <c r="P4587" s="2"/>
    </row>
    <row r="4588" spans="1:16" x14ac:dyDescent="0.25">
      <c r="A4588" s="2"/>
      <c r="B4588" s="2"/>
      <c r="F4588" s="1"/>
      <c r="G4588" s="1"/>
      <c r="I4588" s="1"/>
      <c r="J4588" s="1"/>
      <c r="L4588" s="1"/>
      <c r="M4588" s="1"/>
      <c r="O4588" s="2"/>
      <c r="P4588" s="2"/>
    </row>
    <row r="4589" spans="1:16" x14ac:dyDescent="0.25">
      <c r="A4589" s="2"/>
      <c r="B4589" s="2"/>
      <c r="F4589" s="1"/>
      <c r="G4589" s="1"/>
      <c r="I4589" s="1"/>
      <c r="J4589" s="1"/>
      <c r="L4589" s="1"/>
      <c r="M4589" s="1"/>
      <c r="O4589" s="2"/>
      <c r="P4589" s="2"/>
    </row>
    <row r="4590" spans="1:16" x14ac:dyDescent="0.25">
      <c r="A4590" s="2"/>
      <c r="B4590" s="2"/>
      <c r="F4590" s="1"/>
      <c r="G4590" s="1"/>
      <c r="I4590" s="1"/>
      <c r="J4590" s="1"/>
      <c r="L4590" s="1"/>
      <c r="M4590" s="1"/>
      <c r="O4590" s="2"/>
      <c r="P4590" s="2"/>
    </row>
    <row r="4591" spans="1:16" x14ac:dyDescent="0.25">
      <c r="A4591" s="2"/>
      <c r="B4591" s="2"/>
      <c r="F4591" s="1"/>
      <c r="G4591" s="1"/>
      <c r="I4591" s="1"/>
      <c r="J4591" s="1"/>
      <c r="L4591" s="1"/>
      <c r="M4591" s="1"/>
      <c r="O4591" s="2"/>
      <c r="P4591" s="2"/>
    </row>
    <row r="4592" spans="1:16" x14ac:dyDescent="0.25">
      <c r="A4592" s="2"/>
      <c r="B4592" s="2"/>
      <c r="F4592" s="1"/>
      <c r="G4592" s="1"/>
      <c r="I4592" s="1"/>
      <c r="J4592" s="1"/>
      <c r="L4592" s="1"/>
      <c r="M4592" s="1"/>
      <c r="O4592" s="2"/>
      <c r="P4592" s="2"/>
    </row>
    <row r="4593" spans="1:16" x14ac:dyDescent="0.25">
      <c r="A4593" s="2"/>
      <c r="B4593" s="2"/>
      <c r="F4593" s="1"/>
      <c r="G4593" s="1"/>
      <c r="I4593" s="1"/>
      <c r="J4593" s="1"/>
      <c r="L4593" s="1"/>
      <c r="M4593" s="1"/>
      <c r="O4593" s="2"/>
      <c r="P4593" s="2"/>
    </row>
    <row r="4594" spans="1:16" x14ac:dyDescent="0.25">
      <c r="A4594" s="2"/>
      <c r="B4594" s="2"/>
      <c r="F4594" s="1"/>
      <c r="G4594" s="1"/>
      <c r="I4594" s="1"/>
      <c r="J4594" s="1"/>
      <c r="L4594" s="1"/>
      <c r="M4594" s="1"/>
      <c r="O4594" s="2"/>
      <c r="P4594" s="2"/>
    </row>
    <row r="4595" spans="1:16" x14ac:dyDescent="0.25">
      <c r="A4595" s="2"/>
      <c r="B4595" s="2"/>
      <c r="F4595" s="1"/>
      <c r="G4595" s="1"/>
      <c r="I4595" s="1"/>
      <c r="J4595" s="1"/>
      <c r="L4595" s="1"/>
      <c r="M4595" s="1"/>
      <c r="O4595" s="2"/>
      <c r="P4595" s="2"/>
    </row>
    <row r="4596" spans="1:16" x14ac:dyDescent="0.25">
      <c r="A4596" s="2"/>
      <c r="B4596" s="2"/>
      <c r="F4596" s="1"/>
      <c r="G4596" s="1"/>
      <c r="I4596" s="1"/>
      <c r="J4596" s="1"/>
      <c r="L4596" s="1"/>
      <c r="M4596" s="1"/>
      <c r="O4596" s="2"/>
      <c r="P4596" s="2"/>
    </row>
    <row r="4597" spans="1:16" x14ac:dyDescent="0.25">
      <c r="A4597" s="2"/>
      <c r="B4597" s="2"/>
      <c r="F4597" s="1"/>
      <c r="G4597" s="1"/>
      <c r="I4597" s="1"/>
      <c r="J4597" s="1"/>
      <c r="L4597" s="1"/>
      <c r="M4597" s="1"/>
      <c r="O4597" s="2"/>
      <c r="P4597" s="2"/>
    </row>
    <row r="4598" spans="1:16" x14ac:dyDescent="0.25">
      <c r="A4598" s="2"/>
      <c r="B4598" s="2"/>
      <c r="F4598" s="1"/>
      <c r="G4598" s="1"/>
      <c r="I4598" s="1"/>
      <c r="J4598" s="1"/>
      <c r="L4598" s="1"/>
      <c r="M4598" s="1"/>
      <c r="O4598" s="2"/>
      <c r="P4598" s="2"/>
    </row>
    <row r="4599" spans="1:16" x14ac:dyDescent="0.25">
      <c r="A4599" s="2"/>
      <c r="B4599" s="2"/>
      <c r="F4599" s="1"/>
      <c r="G4599" s="1"/>
      <c r="I4599" s="1"/>
      <c r="J4599" s="1"/>
      <c r="L4599" s="1"/>
      <c r="M4599" s="1"/>
      <c r="O4599" s="2"/>
      <c r="P4599" s="2"/>
    </row>
    <row r="4600" spans="1:16" x14ac:dyDescent="0.25">
      <c r="A4600" s="2"/>
      <c r="B4600" s="2"/>
      <c r="F4600" s="1"/>
      <c r="G4600" s="1"/>
      <c r="I4600" s="1"/>
      <c r="J4600" s="1"/>
      <c r="L4600" s="1"/>
      <c r="M4600" s="1"/>
      <c r="O4600" s="2"/>
      <c r="P4600" s="2"/>
    </row>
    <row r="4601" spans="1:16" x14ac:dyDescent="0.25">
      <c r="A4601" s="2"/>
      <c r="B4601" s="2"/>
      <c r="F4601" s="1"/>
      <c r="G4601" s="1"/>
      <c r="I4601" s="1"/>
      <c r="J4601" s="1"/>
      <c r="L4601" s="1"/>
      <c r="M4601" s="1"/>
      <c r="O4601" s="2"/>
      <c r="P4601" s="2"/>
    </row>
    <row r="4602" spans="1:16" x14ac:dyDescent="0.25">
      <c r="A4602" s="2"/>
      <c r="B4602" s="2"/>
      <c r="F4602" s="1"/>
      <c r="G4602" s="1"/>
      <c r="I4602" s="1"/>
      <c r="J4602" s="1"/>
      <c r="L4602" s="1"/>
      <c r="M4602" s="1"/>
      <c r="O4602" s="2"/>
      <c r="P4602" s="2"/>
    </row>
    <row r="4603" spans="1:16" x14ac:dyDescent="0.25">
      <c r="A4603" s="2"/>
      <c r="B4603" s="2"/>
      <c r="F4603" s="1"/>
      <c r="G4603" s="1"/>
      <c r="I4603" s="1"/>
      <c r="J4603" s="1"/>
      <c r="L4603" s="1"/>
      <c r="M4603" s="1"/>
      <c r="O4603" s="2"/>
      <c r="P4603" s="2"/>
    </row>
    <row r="4604" spans="1:16" x14ac:dyDescent="0.25">
      <c r="A4604" s="2"/>
      <c r="B4604" s="2"/>
      <c r="F4604" s="1"/>
      <c r="G4604" s="1"/>
      <c r="I4604" s="1"/>
      <c r="J4604" s="1"/>
      <c r="L4604" s="1"/>
      <c r="M4604" s="1"/>
      <c r="O4604" s="2"/>
      <c r="P4604" s="2"/>
    </row>
    <row r="4605" spans="1:16" x14ac:dyDescent="0.25">
      <c r="A4605" s="2"/>
      <c r="B4605" s="2"/>
      <c r="F4605" s="1"/>
      <c r="G4605" s="1"/>
      <c r="I4605" s="1"/>
      <c r="J4605" s="1"/>
      <c r="L4605" s="1"/>
      <c r="M4605" s="1"/>
      <c r="O4605" s="2"/>
      <c r="P4605" s="2"/>
    </row>
    <row r="4606" spans="1:16" x14ac:dyDescent="0.25">
      <c r="A4606" s="2"/>
      <c r="B4606" s="2"/>
      <c r="F4606" s="1"/>
      <c r="G4606" s="1"/>
      <c r="I4606" s="1"/>
      <c r="J4606" s="1"/>
      <c r="L4606" s="1"/>
      <c r="M4606" s="1"/>
      <c r="O4606" s="2"/>
      <c r="P4606" s="2"/>
    </row>
    <row r="4607" spans="1:16" x14ac:dyDescent="0.25">
      <c r="A4607" s="2"/>
      <c r="B4607" s="2"/>
      <c r="F4607" s="1"/>
      <c r="G4607" s="1"/>
      <c r="I4607" s="1"/>
      <c r="J4607" s="1"/>
      <c r="L4607" s="1"/>
      <c r="M4607" s="1"/>
      <c r="O4607" s="2"/>
      <c r="P4607" s="2"/>
    </row>
    <row r="4608" spans="1:16" x14ac:dyDescent="0.25">
      <c r="A4608" s="2"/>
      <c r="B4608" s="2"/>
      <c r="F4608" s="1"/>
      <c r="G4608" s="1"/>
      <c r="I4608" s="1"/>
      <c r="J4608" s="1"/>
      <c r="L4608" s="1"/>
      <c r="M4608" s="1"/>
      <c r="O4608" s="2"/>
      <c r="P4608" s="2"/>
    </row>
    <row r="4609" spans="1:16" x14ac:dyDescent="0.25">
      <c r="A4609" s="2"/>
      <c r="B4609" s="2"/>
      <c r="F4609" s="1"/>
      <c r="G4609" s="1"/>
      <c r="I4609" s="1"/>
      <c r="J4609" s="1"/>
      <c r="L4609" s="1"/>
      <c r="M4609" s="1"/>
      <c r="O4609" s="2"/>
      <c r="P4609" s="2"/>
    </row>
    <row r="4610" spans="1:16" x14ac:dyDescent="0.25">
      <c r="A4610" s="2"/>
      <c r="B4610" s="2"/>
      <c r="F4610" s="1"/>
      <c r="G4610" s="1"/>
      <c r="I4610" s="1"/>
      <c r="J4610" s="1"/>
      <c r="L4610" s="1"/>
      <c r="M4610" s="1"/>
      <c r="O4610" s="2"/>
      <c r="P4610" s="2"/>
    </row>
    <row r="4611" spans="1:16" x14ac:dyDescent="0.25">
      <c r="A4611" s="2"/>
      <c r="B4611" s="2"/>
      <c r="F4611" s="1"/>
      <c r="G4611" s="1"/>
      <c r="I4611" s="1"/>
      <c r="J4611" s="1"/>
      <c r="L4611" s="1"/>
      <c r="M4611" s="1"/>
      <c r="O4611" s="2"/>
      <c r="P4611" s="2"/>
    </row>
    <row r="4612" spans="1:16" x14ac:dyDescent="0.25">
      <c r="A4612" s="2"/>
      <c r="B4612" s="2"/>
      <c r="F4612" s="1"/>
      <c r="G4612" s="1"/>
      <c r="I4612" s="1"/>
      <c r="J4612" s="1"/>
      <c r="L4612" s="1"/>
      <c r="M4612" s="1"/>
      <c r="O4612" s="2"/>
      <c r="P4612" s="2"/>
    </row>
    <row r="4613" spans="1:16" x14ac:dyDescent="0.25">
      <c r="A4613" s="2"/>
      <c r="B4613" s="2"/>
      <c r="F4613" s="1"/>
      <c r="G4613" s="1"/>
      <c r="I4613" s="1"/>
      <c r="J4613" s="1"/>
      <c r="L4613" s="1"/>
      <c r="M4613" s="1"/>
      <c r="O4613" s="2"/>
      <c r="P4613" s="2"/>
    </row>
    <row r="4614" spans="1:16" x14ac:dyDescent="0.25">
      <c r="A4614" s="2"/>
      <c r="B4614" s="2"/>
      <c r="F4614" s="1"/>
      <c r="G4614" s="1"/>
      <c r="I4614" s="1"/>
      <c r="J4614" s="1"/>
      <c r="L4614" s="1"/>
      <c r="M4614" s="1"/>
      <c r="O4614" s="2"/>
      <c r="P4614" s="2"/>
    </row>
    <row r="4615" spans="1:16" x14ac:dyDescent="0.25">
      <c r="A4615" s="2"/>
      <c r="B4615" s="2"/>
      <c r="F4615" s="1"/>
      <c r="G4615" s="1"/>
      <c r="I4615" s="1"/>
      <c r="J4615" s="1"/>
      <c r="L4615" s="1"/>
      <c r="M4615" s="1"/>
      <c r="O4615" s="2"/>
      <c r="P4615" s="2"/>
    </row>
    <row r="4616" spans="1:16" x14ac:dyDescent="0.25">
      <c r="A4616" s="2"/>
      <c r="B4616" s="2"/>
      <c r="F4616" s="1"/>
      <c r="G4616" s="1"/>
      <c r="I4616" s="1"/>
      <c r="J4616" s="1"/>
      <c r="L4616" s="1"/>
      <c r="M4616" s="1"/>
      <c r="O4616" s="2"/>
      <c r="P4616" s="2"/>
    </row>
    <row r="4617" spans="1:16" x14ac:dyDescent="0.25">
      <c r="A4617" s="2"/>
      <c r="B4617" s="2"/>
      <c r="F4617" s="1"/>
      <c r="G4617" s="1"/>
      <c r="I4617" s="1"/>
      <c r="J4617" s="1"/>
      <c r="L4617" s="1"/>
      <c r="M4617" s="1"/>
      <c r="O4617" s="2"/>
      <c r="P4617" s="2"/>
    </row>
    <row r="4618" spans="1:16" x14ac:dyDescent="0.25">
      <c r="A4618" s="2"/>
      <c r="B4618" s="2"/>
      <c r="F4618" s="1"/>
      <c r="G4618" s="1"/>
      <c r="I4618" s="1"/>
      <c r="J4618" s="1"/>
      <c r="L4618" s="1"/>
      <c r="M4618" s="1"/>
      <c r="O4618" s="2"/>
      <c r="P4618" s="2"/>
    </row>
    <row r="4619" spans="1:16" x14ac:dyDescent="0.25">
      <c r="A4619" s="2"/>
      <c r="B4619" s="2"/>
      <c r="F4619" s="1"/>
      <c r="G4619" s="1"/>
      <c r="I4619" s="1"/>
      <c r="J4619" s="1"/>
      <c r="L4619" s="1"/>
      <c r="M4619" s="1"/>
      <c r="O4619" s="2"/>
      <c r="P4619" s="2"/>
    </row>
    <row r="4620" spans="1:16" x14ac:dyDescent="0.25">
      <c r="A4620" s="2"/>
      <c r="B4620" s="2"/>
      <c r="F4620" s="1"/>
      <c r="G4620" s="1"/>
      <c r="I4620" s="1"/>
      <c r="J4620" s="1"/>
      <c r="L4620" s="1"/>
      <c r="M4620" s="1"/>
      <c r="O4620" s="2"/>
      <c r="P4620" s="2"/>
    </row>
    <row r="4621" spans="1:16" x14ac:dyDescent="0.25">
      <c r="A4621" s="2"/>
      <c r="B4621" s="2"/>
      <c r="F4621" s="1"/>
      <c r="G4621" s="1"/>
      <c r="I4621" s="1"/>
      <c r="J4621" s="1"/>
      <c r="L4621" s="1"/>
      <c r="M4621" s="1"/>
      <c r="O4621" s="2"/>
      <c r="P4621" s="2"/>
    </row>
    <row r="4622" spans="1:16" x14ac:dyDescent="0.25">
      <c r="A4622" s="2"/>
      <c r="B4622" s="2"/>
      <c r="F4622" s="1"/>
      <c r="G4622" s="1"/>
      <c r="I4622" s="1"/>
      <c r="J4622" s="1"/>
      <c r="L4622" s="1"/>
      <c r="M4622" s="1"/>
      <c r="O4622" s="2"/>
      <c r="P4622" s="2"/>
    </row>
    <row r="4623" spans="1:16" x14ac:dyDescent="0.25">
      <c r="A4623" s="2"/>
      <c r="B4623" s="2"/>
      <c r="F4623" s="1"/>
      <c r="G4623" s="1"/>
      <c r="I4623" s="1"/>
      <c r="J4623" s="1"/>
      <c r="L4623" s="1"/>
      <c r="M4623" s="1"/>
      <c r="O4623" s="2"/>
      <c r="P4623" s="2"/>
    </row>
    <row r="4624" spans="1:16" x14ac:dyDescent="0.25">
      <c r="A4624" s="2"/>
      <c r="B4624" s="2"/>
      <c r="F4624" s="1"/>
      <c r="G4624" s="1"/>
      <c r="I4624" s="1"/>
      <c r="J4624" s="1"/>
      <c r="L4624" s="1"/>
      <c r="M4624" s="1"/>
      <c r="O4624" s="2"/>
      <c r="P4624" s="2"/>
    </row>
    <row r="4625" spans="1:16" x14ac:dyDescent="0.25">
      <c r="A4625" s="2"/>
      <c r="B4625" s="2"/>
      <c r="F4625" s="1"/>
      <c r="G4625" s="1"/>
      <c r="I4625" s="1"/>
      <c r="J4625" s="1"/>
      <c r="L4625" s="1"/>
      <c r="M4625" s="1"/>
      <c r="O4625" s="2"/>
      <c r="P4625" s="2"/>
    </row>
    <row r="4626" spans="1:16" x14ac:dyDescent="0.25">
      <c r="A4626" s="2"/>
      <c r="B4626" s="2"/>
      <c r="F4626" s="1"/>
      <c r="G4626" s="1"/>
      <c r="I4626" s="1"/>
      <c r="J4626" s="1"/>
      <c r="L4626" s="1"/>
      <c r="M4626" s="1"/>
      <c r="O4626" s="2"/>
      <c r="P4626" s="2"/>
    </row>
    <row r="4627" spans="1:16" x14ac:dyDescent="0.25">
      <c r="A4627" s="2"/>
      <c r="B4627" s="2"/>
      <c r="F4627" s="1"/>
      <c r="G4627" s="1"/>
      <c r="I4627" s="1"/>
      <c r="J4627" s="1"/>
      <c r="L4627" s="1"/>
      <c r="M4627" s="1"/>
      <c r="O4627" s="2"/>
      <c r="P4627" s="2"/>
    </row>
    <row r="4628" spans="1:16" x14ac:dyDescent="0.25">
      <c r="A4628" s="2"/>
      <c r="B4628" s="2"/>
      <c r="F4628" s="1"/>
      <c r="G4628" s="1"/>
      <c r="I4628" s="1"/>
      <c r="J4628" s="1"/>
      <c r="L4628" s="1"/>
      <c r="M4628" s="1"/>
      <c r="O4628" s="2"/>
      <c r="P4628" s="2"/>
    </row>
    <row r="4629" spans="1:16" x14ac:dyDescent="0.25">
      <c r="A4629" s="2"/>
      <c r="B4629" s="2"/>
      <c r="F4629" s="1"/>
      <c r="G4629" s="1"/>
      <c r="I4629" s="1"/>
      <c r="J4629" s="1"/>
      <c r="L4629" s="1"/>
      <c r="M4629" s="1"/>
      <c r="O4629" s="2"/>
      <c r="P4629" s="2"/>
    </row>
    <row r="4630" spans="1:16" x14ac:dyDescent="0.25">
      <c r="A4630" s="2"/>
      <c r="B4630" s="2"/>
      <c r="F4630" s="1"/>
      <c r="G4630" s="1"/>
      <c r="I4630" s="1"/>
      <c r="J4630" s="1"/>
      <c r="L4630" s="1"/>
      <c r="M4630" s="1"/>
      <c r="O4630" s="2"/>
      <c r="P4630" s="2"/>
    </row>
    <row r="4631" spans="1:16" x14ac:dyDescent="0.25">
      <c r="A4631" s="2"/>
      <c r="B4631" s="2"/>
      <c r="F4631" s="1"/>
      <c r="G4631" s="1"/>
      <c r="I4631" s="1"/>
      <c r="J4631" s="1"/>
      <c r="L4631" s="1"/>
      <c r="M4631" s="1"/>
      <c r="O4631" s="2"/>
      <c r="P4631" s="2"/>
    </row>
    <row r="4632" spans="1:16" x14ac:dyDescent="0.25">
      <c r="A4632" s="2"/>
      <c r="B4632" s="2"/>
      <c r="F4632" s="1"/>
      <c r="G4632" s="1"/>
      <c r="I4632" s="1"/>
      <c r="J4632" s="1"/>
      <c r="L4632" s="1"/>
      <c r="M4632" s="1"/>
      <c r="O4632" s="2"/>
      <c r="P4632" s="2"/>
    </row>
    <row r="4633" spans="1:16" x14ac:dyDescent="0.25">
      <c r="A4633" s="2"/>
      <c r="B4633" s="2"/>
      <c r="F4633" s="1"/>
      <c r="G4633" s="1"/>
      <c r="I4633" s="1"/>
      <c r="J4633" s="1"/>
      <c r="L4633" s="1"/>
      <c r="M4633" s="1"/>
      <c r="O4633" s="2"/>
      <c r="P4633" s="2"/>
    </row>
    <row r="4634" spans="1:16" x14ac:dyDescent="0.25">
      <c r="A4634" s="2"/>
      <c r="B4634" s="2"/>
      <c r="F4634" s="1"/>
      <c r="G4634" s="1"/>
      <c r="I4634" s="1"/>
      <c r="J4634" s="1"/>
      <c r="L4634" s="1"/>
      <c r="M4634" s="1"/>
      <c r="O4634" s="2"/>
      <c r="P4634" s="2"/>
    </row>
    <row r="4635" spans="1:16" x14ac:dyDescent="0.25">
      <c r="A4635" s="2"/>
      <c r="B4635" s="2"/>
      <c r="F4635" s="1"/>
      <c r="G4635" s="1"/>
      <c r="I4635" s="1"/>
      <c r="J4635" s="1"/>
      <c r="L4635" s="1"/>
      <c r="M4635" s="1"/>
      <c r="O4635" s="2"/>
      <c r="P4635" s="2"/>
    </row>
    <row r="4636" spans="1:16" x14ac:dyDescent="0.25">
      <c r="A4636" s="2"/>
      <c r="B4636" s="2"/>
      <c r="F4636" s="1"/>
      <c r="G4636" s="1"/>
      <c r="I4636" s="1"/>
      <c r="J4636" s="1"/>
      <c r="L4636" s="1"/>
      <c r="M4636" s="1"/>
      <c r="O4636" s="2"/>
      <c r="P4636" s="2"/>
    </row>
    <row r="4637" spans="1:16" x14ac:dyDescent="0.25">
      <c r="A4637" s="2"/>
      <c r="B4637" s="2"/>
      <c r="F4637" s="1"/>
      <c r="G4637" s="1"/>
      <c r="I4637" s="1"/>
      <c r="J4637" s="1"/>
      <c r="L4637" s="1"/>
      <c r="M4637" s="1"/>
      <c r="O4637" s="2"/>
      <c r="P4637" s="2"/>
    </row>
    <row r="4638" spans="1:16" x14ac:dyDescent="0.25">
      <c r="A4638" s="2"/>
      <c r="B4638" s="2"/>
      <c r="F4638" s="1"/>
      <c r="G4638" s="1"/>
      <c r="I4638" s="1"/>
      <c r="J4638" s="1"/>
      <c r="L4638" s="1"/>
      <c r="M4638" s="1"/>
      <c r="O4638" s="2"/>
      <c r="P4638" s="2"/>
    </row>
    <row r="4639" spans="1:16" x14ac:dyDescent="0.25">
      <c r="A4639" s="2"/>
      <c r="B4639" s="2"/>
      <c r="F4639" s="1"/>
      <c r="G4639" s="1"/>
      <c r="I4639" s="1"/>
      <c r="J4639" s="1"/>
      <c r="L4639" s="1"/>
      <c r="M4639" s="1"/>
      <c r="O4639" s="2"/>
      <c r="P4639" s="2"/>
    </row>
    <row r="4640" spans="1:16" x14ac:dyDescent="0.25">
      <c r="A4640" s="2"/>
      <c r="B4640" s="2"/>
      <c r="F4640" s="1"/>
      <c r="G4640" s="1"/>
      <c r="I4640" s="1"/>
      <c r="J4640" s="1"/>
      <c r="L4640" s="1"/>
      <c r="M4640" s="1"/>
      <c r="O4640" s="2"/>
      <c r="P4640" s="2"/>
    </row>
    <row r="4641" spans="1:16" x14ac:dyDescent="0.25">
      <c r="A4641" s="2"/>
      <c r="B4641" s="2"/>
      <c r="F4641" s="1"/>
      <c r="G4641" s="1"/>
      <c r="I4641" s="1"/>
      <c r="J4641" s="1"/>
      <c r="L4641" s="1"/>
      <c r="M4641" s="1"/>
      <c r="O4641" s="2"/>
      <c r="P4641" s="2"/>
    </row>
    <row r="4642" spans="1:16" x14ac:dyDescent="0.25">
      <c r="A4642" s="2"/>
      <c r="B4642" s="2"/>
      <c r="F4642" s="1"/>
      <c r="G4642" s="1"/>
      <c r="I4642" s="1"/>
      <c r="J4642" s="1"/>
      <c r="L4642" s="1"/>
      <c r="M4642" s="1"/>
      <c r="O4642" s="2"/>
      <c r="P4642" s="2"/>
    </row>
    <row r="4643" spans="1:16" x14ac:dyDescent="0.25">
      <c r="A4643" s="2"/>
      <c r="B4643" s="2"/>
      <c r="F4643" s="1"/>
      <c r="G4643" s="1"/>
      <c r="I4643" s="1"/>
      <c r="J4643" s="1"/>
      <c r="L4643" s="1"/>
      <c r="M4643" s="1"/>
      <c r="O4643" s="2"/>
      <c r="P4643" s="2"/>
    </row>
    <row r="4644" spans="1:16" x14ac:dyDescent="0.25">
      <c r="A4644" s="2"/>
      <c r="B4644" s="2"/>
      <c r="F4644" s="1"/>
      <c r="G4644" s="1"/>
      <c r="I4644" s="1"/>
      <c r="J4644" s="1"/>
      <c r="L4644" s="1"/>
      <c r="M4644" s="1"/>
      <c r="O4644" s="2"/>
      <c r="P4644" s="2"/>
    </row>
    <row r="4645" spans="1:16" x14ac:dyDescent="0.25">
      <c r="A4645" s="2"/>
      <c r="B4645" s="2"/>
      <c r="F4645" s="1"/>
      <c r="G4645" s="1"/>
      <c r="I4645" s="1"/>
      <c r="J4645" s="1"/>
      <c r="L4645" s="1"/>
      <c r="M4645" s="1"/>
      <c r="O4645" s="2"/>
      <c r="P4645" s="2"/>
    </row>
    <row r="4646" spans="1:16" x14ac:dyDescent="0.25">
      <c r="A4646" s="2"/>
      <c r="B4646" s="2"/>
      <c r="F4646" s="1"/>
      <c r="G4646" s="1"/>
      <c r="I4646" s="1"/>
      <c r="J4646" s="1"/>
      <c r="L4646" s="1"/>
      <c r="M4646" s="1"/>
      <c r="O4646" s="2"/>
      <c r="P4646" s="2"/>
    </row>
    <row r="4647" spans="1:16" x14ac:dyDescent="0.25">
      <c r="A4647" s="2"/>
      <c r="B4647" s="2"/>
      <c r="F4647" s="1"/>
      <c r="G4647" s="1"/>
      <c r="I4647" s="1"/>
      <c r="J4647" s="1"/>
      <c r="L4647" s="1"/>
      <c r="M4647" s="1"/>
      <c r="O4647" s="2"/>
      <c r="P4647" s="2"/>
    </row>
    <row r="4648" spans="1:16" x14ac:dyDescent="0.25">
      <c r="A4648" s="2"/>
      <c r="B4648" s="2"/>
      <c r="F4648" s="1"/>
      <c r="G4648" s="1"/>
      <c r="I4648" s="1"/>
      <c r="J4648" s="1"/>
      <c r="L4648" s="1"/>
      <c r="M4648" s="1"/>
      <c r="O4648" s="2"/>
      <c r="P4648" s="2"/>
    </row>
    <row r="4649" spans="1:16" x14ac:dyDescent="0.25">
      <c r="A4649" s="2"/>
      <c r="B4649" s="2"/>
      <c r="F4649" s="1"/>
      <c r="G4649" s="1"/>
      <c r="I4649" s="1"/>
      <c r="J4649" s="1"/>
      <c r="L4649" s="1"/>
      <c r="M4649" s="1"/>
      <c r="O4649" s="2"/>
      <c r="P4649" s="2"/>
    </row>
    <row r="4650" spans="1:16" x14ac:dyDescent="0.25">
      <c r="A4650" s="2"/>
      <c r="B4650" s="2"/>
      <c r="F4650" s="1"/>
      <c r="G4650" s="1"/>
      <c r="I4650" s="1"/>
      <c r="J4650" s="1"/>
      <c r="L4650" s="1"/>
      <c r="M4650" s="1"/>
      <c r="O4650" s="2"/>
      <c r="P4650" s="2"/>
    </row>
    <row r="4651" spans="1:16" x14ac:dyDescent="0.25">
      <c r="A4651" s="2"/>
      <c r="B4651" s="2"/>
      <c r="F4651" s="1"/>
      <c r="G4651" s="1"/>
      <c r="I4651" s="1"/>
      <c r="J4651" s="1"/>
      <c r="L4651" s="1"/>
      <c r="M4651" s="1"/>
      <c r="O4651" s="2"/>
      <c r="P4651" s="2"/>
    </row>
    <row r="4652" spans="1:16" x14ac:dyDescent="0.25">
      <c r="A4652" s="2"/>
      <c r="B4652" s="2"/>
      <c r="F4652" s="1"/>
      <c r="G4652" s="1"/>
      <c r="I4652" s="1"/>
      <c r="J4652" s="1"/>
      <c r="L4652" s="1"/>
      <c r="M4652" s="1"/>
      <c r="O4652" s="2"/>
      <c r="P4652" s="2"/>
    </row>
    <row r="4653" spans="1:16" x14ac:dyDescent="0.25">
      <c r="A4653" s="2"/>
      <c r="B4653" s="2"/>
      <c r="F4653" s="1"/>
      <c r="G4653" s="1"/>
      <c r="I4653" s="1"/>
      <c r="J4653" s="1"/>
      <c r="L4653" s="1"/>
      <c r="M4653" s="1"/>
      <c r="O4653" s="2"/>
      <c r="P4653" s="2"/>
    </row>
    <row r="4654" spans="1:16" x14ac:dyDescent="0.25">
      <c r="A4654" s="2"/>
      <c r="B4654" s="2"/>
      <c r="F4654" s="1"/>
      <c r="G4654" s="1"/>
      <c r="I4654" s="1"/>
      <c r="J4654" s="1"/>
      <c r="L4654" s="1"/>
      <c r="M4654" s="1"/>
      <c r="O4654" s="2"/>
      <c r="P4654" s="2"/>
    </row>
    <row r="4655" spans="1:16" x14ac:dyDescent="0.25">
      <c r="A4655" s="2"/>
      <c r="B4655" s="2"/>
      <c r="F4655" s="1"/>
      <c r="G4655" s="1"/>
      <c r="I4655" s="1"/>
      <c r="J4655" s="1"/>
      <c r="L4655" s="1"/>
      <c r="M4655" s="1"/>
      <c r="O4655" s="2"/>
      <c r="P4655" s="2"/>
    </row>
    <row r="4656" spans="1:16" x14ac:dyDescent="0.25">
      <c r="A4656" s="2"/>
      <c r="B4656" s="2"/>
      <c r="F4656" s="1"/>
      <c r="G4656" s="1"/>
      <c r="I4656" s="1"/>
      <c r="J4656" s="1"/>
      <c r="L4656" s="1"/>
      <c r="M4656" s="1"/>
      <c r="O4656" s="2"/>
      <c r="P4656" s="2"/>
    </row>
    <row r="4657" spans="1:16" x14ac:dyDescent="0.25">
      <c r="A4657" s="2"/>
      <c r="B4657" s="2"/>
      <c r="F4657" s="1"/>
      <c r="G4657" s="1"/>
      <c r="I4657" s="1"/>
      <c r="J4657" s="1"/>
      <c r="L4657" s="1"/>
      <c r="M4657" s="1"/>
      <c r="O4657" s="2"/>
      <c r="P4657" s="2"/>
    </row>
    <row r="4658" spans="1:16" x14ac:dyDescent="0.25">
      <c r="A4658" s="2"/>
      <c r="B4658" s="2"/>
      <c r="F4658" s="1"/>
      <c r="G4658" s="1"/>
      <c r="I4658" s="1"/>
      <c r="J4658" s="1"/>
      <c r="L4658" s="1"/>
      <c r="M4658" s="1"/>
      <c r="O4658" s="2"/>
      <c r="P4658" s="2"/>
    </row>
    <row r="4659" spans="1:16" x14ac:dyDescent="0.25">
      <c r="A4659" s="2"/>
      <c r="B4659" s="2"/>
      <c r="F4659" s="1"/>
      <c r="G4659" s="1"/>
      <c r="I4659" s="1"/>
      <c r="J4659" s="1"/>
      <c r="L4659" s="1"/>
      <c r="M4659" s="1"/>
      <c r="O4659" s="2"/>
      <c r="P4659" s="2"/>
    </row>
    <row r="4660" spans="1:16" x14ac:dyDescent="0.25">
      <c r="A4660" s="2"/>
      <c r="B4660" s="2"/>
      <c r="F4660" s="1"/>
      <c r="G4660" s="1"/>
      <c r="I4660" s="1"/>
      <c r="J4660" s="1"/>
      <c r="L4660" s="1"/>
      <c r="M4660" s="1"/>
      <c r="O4660" s="2"/>
      <c r="P4660" s="2"/>
    </row>
    <row r="4661" spans="1:16" x14ac:dyDescent="0.25">
      <c r="A4661" s="2"/>
      <c r="B4661" s="2"/>
      <c r="F4661" s="1"/>
      <c r="G4661" s="1"/>
      <c r="I4661" s="1"/>
      <c r="J4661" s="1"/>
      <c r="L4661" s="1"/>
      <c r="M4661" s="1"/>
      <c r="O4661" s="2"/>
      <c r="P4661" s="2"/>
    </row>
    <row r="4662" spans="1:16" x14ac:dyDescent="0.25">
      <c r="A4662" s="2"/>
      <c r="B4662" s="2"/>
      <c r="F4662" s="1"/>
      <c r="G4662" s="1"/>
      <c r="I4662" s="1"/>
      <c r="J4662" s="1"/>
      <c r="L4662" s="1"/>
      <c r="M4662" s="1"/>
      <c r="O4662" s="2"/>
      <c r="P4662" s="2"/>
    </row>
    <row r="4663" spans="1:16" x14ac:dyDescent="0.25">
      <c r="A4663" s="2"/>
      <c r="B4663" s="2"/>
      <c r="F4663" s="1"/>
      <c r="G4663" s="1"/>
      <c r="I4663" s="1"/>
      <c r="J4663" s="1"/>
      <c r="L4663" s="1"/>
      <c r="M4663" s="1"/>
      <c r="O4663" s="2"/>
      <c r="P4663" s="2"/>
    </row>
    <row r="4664" spans="1:16" x14ac:dyDescent="0.25">
      <c r="A4664" s="2"/>
      <c r="B4664" s="2"/>
      <c r="F4664" s="1"/>
      <c r="G4664" s="1"/>
      <c r="I4664" s="1"/>
      <c r="J4664" s="1"/>
      <c r="L4664" s="1"/>
      <c r="M4664" s="1"/>
      <c r="O4664" s="2"/>
      <c r="P4664" s="2"/>
    </row>
    <row r="4665" spans="1:16" x14ac:dyDescent="0.25">
      <c r="A4665" s="2"/>
      <c r="B4665" s="2"/>
      <c r="F4665" s="1"/>
      <c r="G4665" s="1"/>
      <c r="I4665" s="1"/>
      <c r="J4665" s="1"/>
      <c r="L4665" s="1"/>
      <c r="M4665" s="1"/>
      <c r="O4665" s="2"/>
      <c r="P4665" s="2"/>
    </row>
    <row r="4666" spans="1:16" x14ac:dyDescent="0.25">
      <c r="A4666" s="2"/>
      <c r="B4666" s="2"/>
      <c r="F4666" s="1"/>
      <c r="G4666" s="1"/>
      <c r="I4666" s="1"/>
      <c r="J4666" s="1"/>
      <c r="L4666" s="1"/>
      <c r="M4666" s="1"/>
      <c r="O4666" s="2"/>
      <c r="P4666" s="2"/>
    </row>
    <row r="4667" spans="1:16" x14ac:dyDescent="0.25">
      <c r="A4667" s="2"/>
      <c r="B4667" s="2"/>
      <c r="F4667" s="1"/>
      <c r="G4667" s="1"/>
      <c r="I4667" s="1"/>
      <c r="J4667" s="1"/>
      <c r="L4667" s="1"/>
      <c r="M4667" s="1"/>
      <c r="O4667" s="2"/>
      <c r="P4667" s="2"/>
    </row>
    <row r="4668" spans="1:16" x14ac:dyDescent="0.25">
      <c r="A4668" s="2"/>
      <c r="B4668" s="2"/>
      <c r="F4668" s="1"/>
      <c r="G4668" s="1"/>
      <c r="I4668" s="1"/>
      <c r="J4668" s="1"/>
      <c r="L4668" s="1"/>
      <c r="M4668" s="1"/>
      <c r="O4668" s="2"/>
      <c r="P4668" s="2"/>
    </row>
    <row r="4669" spans="1:16" x14ac:dyDescent="0.25">
      <c r="A4669" s="2"/>
      <c r="B4669" s="2"/>
      <c r="F4669" s="1"/>
      <c r="G4669" s="1"/>
      <c r="I4669" s="1"/>
      <c r="J4669" s="1"/>
      <c r="L4669" s="1"/>
      <c r="M4669" s="1"/>
      <c r="O4669" s="2"/>
      <c r="P4669" s="2"/>
    </row>
    <row r="4670" spans="1:16" x14ac:dyDescent="0.25">
      <c r="A4670" s="2"/>
      <c r="B4670" s="2"/>
      <c r="F4670" s="1"/>
      <c r="G4670" s="1"/>
      <c r="I4670" s="1"/>
      <c r="J4670" s="1"/>
      <c r="L4670" s="1"/>
      <c r="M4670" s="1"/>
      <c r="O4670" s="2"/>
      <c r="P4670" s="2"/>
    </row>
    <row r="4671" spans="1:16" x14ac:dyDescent="0.25">
      <c r="A4671" s="2"/>
      <c r="B4671" s="2"/>
      <c r="F4671" s="1"/>
      <c r="G4671" s="1"/>
      <c r="I4671" s="1"/>
      <c r="J4671" s="1"/>
      <c r="L4671" s="1"/>
      <c r="M4671" s="1"/>
      <c r="O4671" s="2"/>
      <c r="P4671" s="2"/>
    </row>
    <row r="4672" spans="1:16" x14ac:dyDescent="0.25">
      <c r="A4672" s="2"/>
      <c r="B4672" s="2"/>
      <c r="F4672" s="1"/>
      <c r="G4672" s="1"/>
      <c r="I4672" s="1"/>
      <c r="J4672" s="1"/>
      <c r="L4672" s="1"/>
      <c r="M4672" s="1"/>
      <c r="O4672" s="2"/>
      <c r="P4672" s="2"/>
    </row>
    <row r="4673" spans="1:16" x14ac:dyDescent="0.25">
      <c r="A4673" s="2"/>
      <c r="B4673" s="2"/>
      <c r="F4673" s="1"/>
      <c r="G4673" s="1"/>
      <c r="I4673" s="1"/>
      <c r="J4673" s="1"/>
      <c r="L4673" s="1"/>
      <c r="M4673" s="1"/>
      <c r="O4673" s="2"/>
      <c r="P4673" s="2"/>
    </row>
    <row r="4674" spans="1:16" x14ac:dyDescent="0.25">
      <c r="A4674" s="2"/>
      <c r="B4674" s="2"/>
      <c r="F4674" s="1"/>
      <c r="G4674" s="1"/>
      <c r="I4674" s="1"/>
      <c r="J4674" s="1"/>
      <c r="L4674" s="1"/>
      <c r="M4674" s="1"/>
      <c r="O4674" s="2"/>
      <c r="P4674" s="2"/>
    </row>
    <row r="4675" spans="1:16" x14ac:dyDescent="0.25">
      <c r="A4675" s="2"/>
      <c r="B4675" s="2"/>
      <c r="F4675" s="1"/>
      <c r="G4675" s="1"/>
      <c r="I4675" s="1"/>
      <c r="J4675" s="1"/>
      <c r="L4675" s="1"/>
      <c r="M4675" s="1"/>
      <c r="O4675" s="2"/>
      <c r="P4675" s="2"/>
    </row>
    <row r="4676" spans="1:16" x14ac:dyDescent="0.25">
      <c r="A4676" s="2"/>
      <c r="B4676" s="2"/>
      <c r="F4676" s="1"/>
      <c r="G4676" s="1"/>
      <c r="I4676" s="1"/>
      <c r="J4676" s="1"/>
      <c r="L4676" s="1"/>
      <c r="M4676" s="1"/>
      <c r="O4676" s="2"/>
      <c r="P4676" s="2"/>
    </row>
    <row r="4677" spans="1:16" x14ac:dyDescent="0.25">
      <c r="A4677" s="2"/>
      <c r="B4677" s="2"/>
      <c r="F4677" s="1"/>
      <c r="G4677" s="1"/>
      <c r="I4677" s="1"/>
      <c r="J4677" s="1"/>
      <c r="L4677" s="1"/>
      <c r="M4677" s="1"/>
      <c r="O4677" s="2"/>
      <c r="P4677" s="2"/>
    </row>
    <row r="4678" spans="1:16" x14ac:dyDescent="0.25">
      <c r="A4678" s="2"/>
      <c r="B4678" s="2"/>
      <c r="F4678" s="1"/>
      <c r="G4678" s="1"/>
      <c r="I4678" s="1"/>
      <c r="J4678" s="1"/>
      <c r="L4678" s="1"/>
      <c r="M4678" s="1"/>
      <c r="O4678" s="2"/>
      <c r="P4678" s="2"/>
    </row>
    <row r="4679" spans="1:16" x14ac:dyDescent="0.25">
      <c r="A4679" s="2"/>
      <c r="B4679" s="2"/>
      <c r="F4679" s="1"/>
      <c r="G4679" s="1"/>
      <c r="I4679" s="1"/>
      <c r="J4679" s="1"/>
      <c r="L4679" s="1"/>
      <c r="M4679" s="1"/>
      <c r="O4679" s="2"/>
      <c r="P4679" s="2"/>
    </row>
    <row r="4680" spans="1:16" x14ac:dyDescent="0.25">
      <c r="A4680" s="2"/>
      <c r="B4680" s="2"/>
      <c r="F4680" s="1"/>
      <c r="G4680" s="1"/>
      <c r="I4680" s="1"/>
      <c r="J4680" s="1"/>
      <c r="L4680" s="1"/>
      <c r="M4680" s="1"/>
      <c r="O4680" s="2"/>
      <c r="P4680" s="2"/>
    </row>
    <row r="4681" spans="1:16" x14ac:dyDescent="0.25">
      <c r="A4681" s="2"/>
      <c r="B4681" s="2"/>
      <c r="F4681" s="1"/>
      <c r="G4681" s="1"/>
      <c r="I4681" s="1"/>
      <c r="J4681" s="1"/>
      <c r="L4681" s="1"/>
      <c r="M4681" s="1"/>
      <c r="O4681" s="2"/>
      <c r="P4681" s="2"/>
    </row>
    <row r="4682" spans="1:16" x14ac:dyDescent="0.25">
      <c r="A4682" s="2"/>
      <c r="B4682" s="2"/>
      <c r="F4682" s="1"/>
      <c r="G4682" s="1"/>
      <c r="I4682" s="1"/>
      <c r="J4682" s="1"/>
      <c r="L4682" s="1"/>
      <c r="M4682" s="1"/>
      <c r="O4682" s="2"/>
      <c r="P4682" s="2"/>
    </row>
    <row r="4683" spans="1:16" x14ac:dyDescent="0.25">
      <c r="A4683" s="2"/>
      <c r="B4683" s="2"/>
      <c r="F4683" s="1"/>
      <c r="G4683" s="1"/>
      <c r="I4683" s="1"/>
      <c r="J4683" s="1"/>
      <c r="L4683" s="1"/>
      <c r="M4683" s="1"/>
      <c r="O4683" s="2"/>
      <c r="P4683" s="2"/>
    </row>
    <row r="4684" spans="1:16" x14ac:dyDescent="0.25">
      <c r="A4684" s="2"/>
      <c r="B4684" s="2"/>
      <c r="F4684" s="1"/>
      <c r="G4684" s="1"/>
      <c r="I4684" s="1"/>
      <c r="J4684" s="1"/>
      <c r="L4684" s="1"/>
      <c r="M4684" s="1"/>
      <c r="O4684" s="2"/>
      <c r="P4684" s="2"/>
    </row>
    <row r="4685" spans="1:16" x14ac:dyDescent="0.25">
      <c r="A4685" s="2"/>
      <c r="B4685" s="2"/>
      <c r="F4685" s="1"/>
      <c r="G4685" s="1"/>
      <c r="I4685" s="1"/>
      <c r="J4685" s="1"/>
      <c r="L4685" s="1"/>
      <c r="M4685" s="1"/>
      <c r="O4685" s="2"/>
      <c r="P4685" s="2"/>
    </row>
    <row r="4686" spans="1:16" x14ac:dyDescent="0.25">
      <c r="A4686" s="2"/>
      <c r="B4686" s="2"/>
      <c r="F4686" s="1"/>
      <c r="G4686" s="1"/>
      <c r="I4686" s="1"/>
      <c r="J4686" s="1"/>
      <c r="L4686" s="1"/>
      <c r="M4686" s="1"/>
      <c r="O4686" s="2"/>
      <c r="P4686" s="2"/>
    </row>
    <row r="4687" spans="1:16" x14ac:dyDescent="0.25">
      <c r="A4687" s="2"/>
      <c r="B4687" s="2"/>
      <c r="F4687" s="1"/>
      <c r="G4687" s="1"/>
      <c r="I4687" s="1"/>
      <c r="J4687" s="1"/>
      <c r="L4687" s="1"/>
      <c r="M4687" s="1"/>
      <c r="O4687" s="2"/>
      <c r="P4687" s="2"/>
    </row>
    <row r="4688" spans="1:16" x14ac:dyDescent="0.25">
      <c r="A4688" s="2"/>
      <c r="B4688" s="2"/>
      <c r="F4688" s="1"/>
      <c r="G4688" s="1"/>
      <c r="I4688" s="1"/>
      <c r="J4688" s="1"/>
      <c r="L4688" s="1"/>
      <c r="M4688" s="1"/>
      <c r="O4688" s="2"/>
      <c r="P4688" s="2"/>
    </row>
    <row r="4689" spans="1:16" x14ac:dyDescent="0.25">
      <c r="A4689" s="2"/>
      <c r="B4689" s="2"/>
      <c r="F4689" s="1"/>
      <c r="G4689" s="1"/>
      <c r="I4689" s="1"/>
      <c r="J4689" s="1"/>
      <c r="L4689" s="1"/>
      <c r="M4689" s="1"/>
      <c r="O4689" s="2"/>
      <c r="P4689" s="2"/>
    </row>
    <row r="4690" spans="1:16" x14ac:dyDescent="0.25">
      <c r="A4690" s="2"/>
      <c r="B4690" s="2"/>
      <c r="F4690" s="1"/>
      <c r="G4690" s="1"/>
      <c r="I4690" s="1"/>
      <c r="J4690" s="1"/>
      <c r="L4690" s="1"/>
      <c r="M4690" s="1"/>
      <c r="O4690" s="2"/>
      <c r="P4690" s="2"/>
    </row>
    <row r="4691" spans="1:16" x14ac:dyDescent="0.25">
      <c r="A4691" s="2"/>
      <c r="B4691" s="2"/>
      <c r="F4691" s="1"/>
      <c r="G4691" s="1"/>
      <c r="I4691" s="1"/>
      <c r="J4691" s="1"/>
      <c r="L4691" s="1"/>
      <c r="M4691" s="1"/>
      <c r="O4691" s="2"/>
      <c r="P4691" s="2"/>
    </row>
    <row r="4692" spans="1:16" x14ac:dyDescent="0.25">
      <c r="A4692" s="2"/>
      <c r="B4692" s="2"/>
      <c r="F4692" s="1"/>
      <c r="G4692" s="1"/>
      <c r="I4692" s="1"/>
      <c r="J4692" s="1"/>
      <c r="L4692" s="1"/>
      <c r="M4692" s="1"/>
      <c r="O4692" s="2"/>
      <c r="P4692" s="2"/>
    </row>
    <row r="4693" spans="1:16" x14ac:dyDescent="0.25">
      <c r="A4693" s="2"/>
      <c r="B4693" s="2"/>
      <c r="F4693" s="1"/>
      <c r="G4693" s="1"/>
      <c r="I4693" s="1"/>
      <c r="J4693" s="1"/>
      <c r="L4693" s="1"/>
      <c r="M4693" s="1"/>
      <c r="O4693" s="2"/>
      <c r="P4693" s="2"/>
    </row>
    <row r="4694" spans="1:16" x14ac:dyDescent="0.25">
      <c r="A4694" s="2"/>
      <c r="B4694" s="2"/>
      <c r="F4694" s="1"/>
      <c r="G4694" s="1"/>
      <c r="I4694" s="1"/>
      <c r="J4694" s="1"/>
      <c r="L4694" s="1"/>
      <c r="M4694" s="1"/>
      <c r="O4694" s="2"/>
      <c r="P4694" s="2"/>
    </row>
    <row r="4695" spans="1:16" x14ac:dyDescent="0.25">
      <c r="A4695" s="2"/>
      <c r="B4695" s="2"/>
      <c r="F4695" s="1"/>
      <c r="G4695" s="1"/>
      <c r="I4695" s="1"/>
      <c r="J4695" s="1"/>
      <c r="L4695" s="1"/>
      <c r="M4695" s="1"/>
      <c r="O4695" s="2"/>
      <c r="P4695" s="2"/>
    </row>
    <row r="4696" spans="1:16" x14ac:dyDescent="0.25">
      <c r="A4696" s="2"/>
      <c r="B4696" s="2"/>
      <c r="F4696" s="1"/>
      <c r="G4696" s="1"/>
      <c r="I4696" s="1"/>
      <c r="J4696" s="1"/>
      <c r="L4696" s="1"/>
      <c r="M4696" s="1"/>
      <c r="O4696" s="2"/>
      <c r="P4696" s="2"/>
    </row>
    <row r="4697" spans="1:16" x14ac:dyDescent="0.25">
      <c r="A4697" s="2"/>
      <c r="B4697" s="2"/>
      <c r="F4697" s="1"/>
      <c r="G4697" s="1"/>
      <c r="I4697" s="1"/>
      <c r="J4697" s="1"/>
      <c r="L4697" s="1"/>
      <c r="M4697" s="1"/>
      <c r="O4697" s="2"/>
      <c r="P4697" s="2"/>
    </row>
    <row r="4698" spans="1:16" x14ac:dyDescent="0.25">
      <c r="A4698" s="2"/>
      <c r="B4698" s="2"/>
      <c r="F4698" s="1"/>
      <c r="G4698" s="1"/>
      <c r="I4698" s="1"/>
      <c r="J4698" s="1"/>
      <c r="L4698" s="1"/>
      <c r="M4698" s="1"/>
      <c r="O4698" s="2"/>
      <c r="P4698" s="2"/>
    </row>
    <row r="4699" spans="1:16" x14ac:dyDescent="0.25">
      <c r="A4699" s="2"/>
      <c r="B4699" s="2"/>
      <c r="F4699" s="1"/>
      <c r="G4699" s="1"/>
      <c r="I4699" s="1"/>
      <c r="J4699" s="1"/>
      <c r="L4699" s="1"/>
      <c r="M4699" s="1"/>
      <c r="O4699" s="2"/>
      <c r="P4699" s="2"/>
    </row>
    <row r="4700" spans="1:16" x14ac:dyDescent="0.25">
      <c r="A4700" s="2"/>
      <c r="B4700" s="2"/>
      <c r="F4700" s="1"/>
      <c r="G4700" s="1"/>
      <c r="I4700" s="1"/>
      <c r="J4700" s="1"/>
      <c r="L4700" s="1"/>
      <c r="M4700" s="1"/>
      <c r="O4700" s="2"/>
      <c r="P4700" s="2"/>
    </row>
    <row r="4701" spans="1:16" x14ac:dyDescent="0.25">
      <c r="A4701" s="2"/>
      <c r="B4701" s="2"/>
      <c r="F4701" s="1"/>
      <c r="G4701" s="1"/>
      <c r="I4701" s="1"/>
      <c r="J4701" s="1"/>
      <c r="L4701" s="1"/>
      <c r="M4701" s="1"/>
      <c r="O4701" s="2"/>
      <c r="P4701" s="2"/>
    </row>
    <row r="4702" spans="1:16" x14ac:dyDescent="0.25">
      <c r="A4702" s="2"/>
      <c r="B4702" s="2"/>
      <c r="F4702" s="1"/>
      <c r="G4702" s="1"/>
      <c r="I4702" s="1"/>
      <c r="J4702" s="1"/>
      <c r="L4702" s="1"/>
      <c r="M4702" s="1"/>
      <c r="O4702" s="2"/>
      <c r="P4702" s="2"/>
    </row>
    <row r="4703" spans="1:16" x14ac:dyDescent="0.25">
      <c r="A4703" s="2"/>
      <c r="B4703" s="2"/>
      <c r="F4703" s="1"/>
      <c r="G4703" s="1"/>
      <c r="I4703" s="1"/>
      <c r="J4703" s="1"/>
      <c r="L4703" s="1"/>
      <c r="M4703" s="1"/>
      <c r="O4703" s="2"/>
      <c r="P4703" s="2"/>
    </row>
    <row r="4704" spans="1:16" x14ac:dyDescent="0.25">
      <c r="A4704" s="2"/>
      <c r="B4704" s="2"/>
      <c r="F4704" s="1"/>
      <c r="G4704" s="1"/>
      <c r="I4704" s="1"/>
      <c r="J4704" s="1"/>
      <c r="L4704" s="1"/>
      <c r="M4704" s="1"/>
      <c r="O4704" s="2"/>
      <c r="P4704" s="2"/>
    </row>
    <row r="4705" spans="1:16" x14ac:dyDescent="0.25">
      <c r="A4705" s="2"/>
      <c r="B4705" s="2"/>
      <c r="F4705" s="1"/>
      <c r="G4705" s="1"/>
      <c r="I4705" s="1"/>
      <c r="J4705" s="1"/>
      <c r="L4705" s="1"/>
      <c r="M4705" s="1"/>
      <c r="O4705" s="2"/>
      <c r="P4705" s="2"/>
    </row>
    <row r="4706" spans="1:16" x14ac:dyDescent="0.25">
      <c r="A4706" s="2"/>
      <c r="B4706" s="2"/>
      <c r="F4706" s="1"/>
      <c r="G4706" s="1"/>
      <c r="I4706" s="1"/>
      <c r="J4706" s="1"/>
      <c r="L4706" s="1"/>
      <c r="M4706" s="1"/>
      <c r="O4706" s="2"/>
      <c r="P4706" s="2"/>
    </row>
    <row r="4707" spans="1:16" x14ac:dyDescent="0.25">
      <c r="A4707" s="2"/>
      <c r="B4707" s="2"/>
      <c r="F4707" s="1"/>
      <c r="G4707" s="1"/>
      <c r="I4707" s="1"/>
      <c r="J4707" s="1"/>
      <c r="L4707" s="1"/>
      <c r="M4707" s="1"/>
      <c r="O4707" s="2"/>
      <c r="P4707" s="2"/>
    </row>
    <row r="4708" spans="1:16" x14ac:dyDescent="0.25">
      <c r="A4708" s="2"/>
      <c r="B4708" s="2"/>
      <c r="F4708" s="1"/>
      <c r="G4708" s="1"/>
      <c r="I4708" s="1"/>
      <c r="J4708" s="1"/>
      <c r="L4708" s="1"/>
      <c r="M4708" s="1"/>
      <c r="O4708" s="2"/>
      <c r="P4708" s="2"/>
    </row>
    <row r="4709" spans="1:16" x14ac:dyDescent="0.25">
      <c r="A4709" s="2"/>
      <c r="B4709" s="2"/>
      <c r="F4709" s="1"/>
      <c r="G4709" s="1"/>
      <c r="I4709" s="1"/>
      <c r="J4709" s="1"/>
      <c r="L4709" s="1"/>
      <c r="M4709" s="1"/>
      <c r="O4709" s="2"/>
      <c r="P4709" s="2"/>
    </row>
    <row r="4710" spans="1:16" x14ac:dyDescent="0.25">
      <c r="A4710" s="2"/>
      <c r="B4710" s="2"/>
      <c r="F4710" s="1"/>
      <c r="G4710" s="1"/>
      <c r="I4710" s="1"/>
      <c r="J4710" s="1"/>
      <c r="L4710" s="1"/>
      <c r="M4710" s="1"/>
      <c r="O4710" s="2"/>
      <c r="P4710" s="2"/>
    </row>
    <row r="4711" spans="1:16" x14ac:dyDescent="0.25">
      <c r="A4711" s="2"/>
      <c r="B4711" s="2"/>
      <c r="F4711" s="1"/>
      <c r="G4711" s="1"/>
      <c r="I4711" s="1"/>
      <c r="J4711" s="1"/>
      <c r="L4711" s="1"/>
      <c r="M4711" s="1"/>
      <c r="O4711" s="2"/>
      <c r="P4711" s="2"/>
    </row>
    <row r="4712" spans="1:16" x14ac:dyDescent="0.25">
      <c r="A4712" s="2"/>
      <c r="B4712" s="2"/>
      <c r="F4712" s="1"/>
      <c r="G4712" s="1"/>
      <c r="I4712" s="1"/>
      <c r="J4712" s="1"/>
      <c r="L4712" s="1"/>
      <c r="M4712" s="1"/>
      <c r="O4712" s="2"/>
      <c r="P4712" s="2"/>
    </row>
    <row r="4713" spans="1:16" x14ac:dyDescent="0.25">
      <c r="A4713" s="2"/>
      <c r="B4713" s="2"/>
      <c r="F4713" s="1"/>
      <c r="G4713" s="1"/>
      <c r="I4713" s="1"/>
      <c r="J4713" s="1"/>
      <c r="L4713" s="1"/>
      <c r="M4713" s="1"/>
      <c r="O4713" s="2"/>
      <c r="P4713" s="2"/>
    </row>
    <row r="4714" spans="1:16" x14ac:dyDescent="0.25">
      <c r="A4714" s="2"/>
      <c r="B4714" s="2"/>
      <c r="F4714" s="1"/>
      <c r="G4714" s="1"/>
      <c r="I4714" s="1"/>
      <c r="J4714" s="1"/>
      <c r="L4714" s="1"/>
      <c r="M4714" s="1"/>
      <c r="O4714" s="2"/>
      <c r="P4714" s="2"/>
    </row>
    <row r="4715" spans="1:16" x14ac:dyDescent="0.25">
      <c r="A4715" s="2"/>
      <c r="B4715" s="2"/>
      <c r="F4715" s="1"/>
      <c r="G4715" s="1"/>
      <c r="I4715" s="1"/>
      <c r="J4715" s="1"/>
      <c r="L4715" s="1"/>
      <c r="M4715" s="1"/>
      <c r="O4715" s="2"/>
      <c r="P4715" s="2"/>
    </row>
    <row r="4716" spans="1:16" x14ac:dyDescent="0.25">
      <c r="A4716" s="2"/>
      <c r="B4716" s="2"/>
      <c r="F4716" s="1"/>
      <c r="G4716" s="1"/>
      <c r="I4716" s="1"/>
      <c r="J4716" s="1"/>
      <c r="L4716" s="1"/>
      <c r="M4716" s="1"/>
      <c r="O4716" s="2"/>
      <c r="P4716" s="2"/>
    </row>
    <row r="4717" spans="1:16" x14ac:dyDescent="0.25">
      <c r="A4717" s="2"/>
      <c r="B4717" s="2"/>
      <c r="F4717" s="1"/>
      <c r="G4717" s="1"/>
      <c r="I4717" s="1"/>
      <c r="J4717" s="1"/>
      <c r="L4717" s="1"/>
      <c r="M4717" s="1"/>
      <c r="O4717" s="2"/>
      <c r="P4717" s="2"/>
    </row>
    <row r="4718" spans="1:16" x14ac:dyDescent="0.25">
      <c r="A4718" s="2"/>
      <c r="B4718" s="2"/>
      <c r="F4718" s="1"/>
      <c r="G4718" s="1"/>
      <c r="I4718" s="1"/>
      <c r="J4718" s="1"/>
      <c r="L4718" s="1"/>
      <c r="M4718" s="1"/>
      <c r="O4718" s="2"/>
      <c r="P4718" s="2"/>
    </row>
    <row r="4719" spans="1:16" x14ac:dyDescent="0.25">
      <c r="A4719" s="2"/>
      <c r="B4719" s="2"/>
      <c r="F4719" s="1"/>
      <c r="G4719" s="1"/>
      <c r="I4719" s="1"/>
      <c r="J4719" s="1"/>
      <c r="L4719" s="1"/>
      <c r="M4719" s="1"/>
      <c r="O4719" s="2"/>
      <c r="P4719" s="2"/>
    </row>
    <row r="4720" spans="1:16" x14ac:dyDescent="0.25">
      <c r="A4720" s="2"/>
      <c r="B4720" s="2"/>
      <c r="F4720" s="1"/>
      <c r="G4720" s="1"/>
      <c r="I4720" s="1"/>
      <c r="J4720" s="1"/>
      <c r="L4720" s="1"/>
      <c r="M4720" s="1"/>
      <c r="O4720" s="2"/>
      <c r="P4720" s="2"/>
    </row>
    <row r="4721" spans="1:16" x14ac:dyDescent="0.25">
      <c r="A4721" s="2"/>
      <c r="B4721" s="2"/>
      <c r="F4721" s="1"/>
      <c r="G4721" s="1"/>
      <c r="I4721" s="1"/>
      <c r="J4721" s="1"/>
      <c r="L4721" s="1"/>
      <c r="M4721" s="1"/>
      <c r="O4721" s="2"/>
      <c r="P4721" s="2"/>
    </row>
    <row r="4722" spans="1:16" x14ac:dyDescent="0.25">
      <c r="A4722" s="2"/>
      <c r="B4722" s="2"/>
      <c r="F4722" s="1"/>
      <c r="G4722" s="1"/>
      <c r="I4722" s="1"/>
      <c r="J4722" s="1"/>
      <c r="L4722" s="1"/>
      <c r="M4722" s="1"/>
      <c r="O4722" s="2"/>
      <c r="P4722" s="2"/>
    </row>
    <row r="4723" spans="1:16" x14ac:dyDescent="0.25">
      <c r="A4723" s="2"/>
      <c r="B4723" s="2"/>
      <c r="F4723" s="1"/>
      <c r="G4723" s="1"/>
      <c r="I4723" s="1"/>
      <c r="J4723" s="1"/>
      <c r="L4723" s="1"/>
      <c r="M4723" s="1"/>
      <c r="O4723" s="2"/>
      <c r="P4723" s="2"/>
    </row>
    <row r="4724" spans="1:16" x14ac:dyDescent="0.25">
      <c r="A4724" s="2"/>
      <c r="B4724" s="2"/>
      <c r="F4724" s="1"/>
      <c r="G4724" s="1"/>
      <c r="I4724" s="1"/>
      <c r="J4724" s="1"/>
      <c r="L4724" s="1"/>
      <c r="M4724" s="1"/>
      <c r="O4724" s="2"/>
      <c r="P4724" s="2"/>
    </row>
    <row r="4725" spans="1:16" x14ac:dyDescent="0.25">
      <c r="A4725" s="2"/>
      <c r="B4725" s="2"/>
      <c r="F4725" s="1"/>
      <c r="G4725" s="1"/>
      <c r="I4725" s="1"/>
      <c r="J4725" s="1"/>
      <c r="L4725" s="1"/>
      <c r="M4725" s="1"/>
      <c r="O4725" s="2"/>
      <c r="P4725" s="2"/>
    </row>
    <row r="4726" spans="1:16" x14ac:dyDescent="0.25">
      <c r="A4726" s="2"/>
      <c r="B4726" s="2"/>
      <c r="F4726" s="1"/>
      <c r="G4726" s="1"/>
      <c r="I4726" s="1"/>
      <c r="J4726" s="1"/>
      <c r="L4726" s="1"/>
      <c r="M4726" s="1"/>
      <c r="O4726" s="2"/>
      <c r="P4726" s="2"/>
    </row>
    <row r="4727" spans="1:16" x14ac:dyDescent="0.25">
      <c r="A4727" s="2"/>
      <c r="B4727" s="2"/>
      <c r="F4727" s="1"/>
      <c r="G4727" s="1"/>
      <c r="I4727" s="1"/>
      <c r="J4727" s="1"/>
      <c r="L4727" s="1"/>
      <c r="M4727" s="1"/>
      <c r="O4727" s="2"/>
      <c r="P4727" s="2"/>
    </row>
    <row r="4728" spans="1:16" x14ac:dyDescent="0.25">
      <c r="A4728" s="2"/>
      <c r="B4728" s="2"/>
      <c r="F4728" s="1"/>
      <c r="G4728" s="1"/>
      <c r="I4728" s="1"/>
      <c r="J4728" s="1"/>
      <c r="L4728" s="1"/>
      <c r="M4728" s="1"/>
      <c r="O4728" s="2"/>
      <c r="P4728" s="2"/>
    </row>
    <row r="4729" spans="1:16" x14ac:dyDescent="0.25">
      <c r="A4729" s="2"/>
      <c r="B4729" s="2"/>
      <c r="F4729" s="1"/>
      <c r="G4729" s="1"/>
      <c r="I4729" s="1"/>
      <c r="J4729" s="1"/>
      <c r="L4729" s="1"/>
      <c r="M4729" s="1"/>
      <c r="O4729" s="2"/>
      <c r="P4729" s="2"/>
    </row>
    <row r="4730" spans="1:16" x14ac:dyDescent="0.25">
      <c r="A4730" s="2"/>
      <c r="B4730" s="2"/>
      <c r="F4730" s="1"/>
      <c r="G4730" s="1"/>
      <c r="I4730" s="1"/>
      <c r="J4730" s="1"/>
      <c r="L4730" s="1"/>
      <c r="M4730" s="1"/>
      <c r="O4730" s="2"/>
      <c r="P4730" s="2"/>
    </row>
    <row r="4731" spans="1:16" x14ac:dyDescent="0.25">
      <c r="A4731" s="2"/>
      <c r="B4731" s="2"/>
      <c r="F4731" s="1"/>
      <c r="G4731" s="1"/>
      <c r="I4731" s="1"/>
      <c r="J4731" s="1"/>
      <c r="L4731" s="1"/>
      <c r="M4731" s="1"/>
      <c r="O4731" s="2"/>
      <c r="P4731" s="2"/>
    </row>
    <row r="4732" spans="1:16" x14ac:dyDescent="0.25">
      <c r="A4732" s="2"/>
      <c r="B4732" s="2"/>
      <c r="F4732" s="1"/>
      <c r="G4732" s="1"/>
      <c r="I4732" s="1"/>
      <c r="J4732" s="1"/>
      <c r="L4732" s="1"/>
      <c r="M4732" s="1"/>
      <c r="O4732" s="2"/>
      <c r="P4732" s="2"/>
    </row>
    <row r="4733" spans="1:16" x14ac:dyDescent="0.25">
      <c r="A4733" s="2"/>
      <c r="B4733" s="2"/>
      <c r="F4733" s="1"/>
      <c r="G4733" s="1"/>
      <c r="I4733" s="1"/>
      <c r="J4733" s="1"/>
      <c r="L4733" s="1"/>
      <c r="M4733" s="1"/>
      <c r="O4733" s="2"/>
      <c r="P4733" s="2"/>
    </row>
    <row r="4734" spans="1:16" x14ac:dyDescent="0.25">
      <c r="A4734" s="2"/>
      <c r="B4734" s="2"/>
      <c r="F4734" s="1"/>
      <c r="G4734" s="1"/>
      <c r="I4734" s="1"/>
      <c r="J4734" s="1"/>
      <c r="L4734" s="1"/>
      <c r="M4734" s="1"/>
      <c r="O4734" s="2"/>
      <c r="P4734" s="2"/>
    </row>
    <row r="4735" spans="1:16" x14ac:dyDescent="0.25">
      <c r="A4735" s="2"/>
      <c r="B4735" s="2"/>
      <c r="F4735" s="1"/>
      <c r="G4735" s="1"/>
      <c r="I4735" s="1"/>
      <c r="J4735" s="1"/>
      <c r="L4735" s="1"/>
      <c r="M4735" s="1"/>
      <c r="O4735" s="2"/>
      <c r="P4735" s="2"/>
    </row>
    <row r="4736" spans="1:16" x14ac:dyDescent="0.25">
      <c r="A4736" s="2"/>
      <c r="B4736" s="2"/>
      <c r="F4736" s="1"/>
      <c r="G4736" s="1"/>
      <c r="I4736" s="1"/>
      <c r="J4736" s="1"/>
      <c r="L4736" s="1"/>
      <c r="M4736" s="1"/>
      <c r="O4736" s="2"/>
      <c r="P4736" s="2"/>
    </row>
    <row r="4737" spans="1:16" x14ac:dyDescent="0.25">
      <c r="A4737" s="2"/>
      <c r="B4737" s="2"/>
      <c r="F4737" s="1"/>
      <c r="G4737" s="1"/>
      <c r="I4737" s="1"/>
      <c r="J4737" s="1"/>
      <c r="L4737" s="1"/>
      <c r="M4737" s="1"/>
      <c r="O4737" s="2"/>
      <c r="P4737" s="2"/>
    </row>
    <row r="4738" spans="1:16" x14ac:dyDescent="0.25">
      <c r="A4738" s="2"/>
      <c r="B4738" s="2"/>
      <c r="F4738" s="1"/>
      <c r="G4738" s="1"/>
      <c r="I4738" s="1"/>
      <c r="J4738" s="1"/>
      <c r="L4738" s="1"/>
      <c r="M4738" s="1"/>
      <c r="O4738" s="2"/>
      <c r="P4738" s="2"/>
    </row>
    <row r="4739" spans="1:16" x14ac:dyDescent="0.25">
      <c r="A4739" s="2"/>
      <c r="B4739" s="2"/>
      <c r="F4739" s="1"/>
      <c r="G4739" s="1"/>
      <c r="I4739" s="1"/>
      <c r="J4739" s="1"/>
      <c r="L4739" s="1"/>
      <c r="M4739" s="1"/>
      <c r="O4739" s="2"/>
      <c r="P4739" s="2"/>
    </row>
    <row r="4740" spans="1:16" x14ac:dyDescent="0.25">
      <c r="A4740" s="2"/>
      <c r="B4740" s="2"/>
      <c r="F4740" s="1"/>
      <c r="G4740" s="1"/>
      <c r="I4740" s="1"/>
      <c r="J4740" s="1"/>
      <c r="L4740" s="1"/>
      <c r="M4740" s="1"/>
      <c r="O4740" s="2"/>
      <c r="P4740" s="2"/>
    </row>
    <row r="4741" spans="1:16" x14ac:dyDescent="0.25">
      <c r="A4741" s="2"/>
      <c r="B4741" s="2"/>
      <c r="F4741" s="1"/>
      <c r="G4741" s="1"/>
      <c r="I4741" s="1"/>
      <c r="J4741" s="1"/>
      <c r="L4741" s="1"/>
      <c r="M4741" s="1"/>
      <c r="O4741" s="2"/>
      <c r="P4741" s="2"/>
    </row>
    <row r="4742" spans="1:16" x14ac:dyDescent="0.25">
      <c r="A4742" s="2"/>
      <c r="B4742" s="2"/>
      <c r="F4742" s="1"/>
      <c r="G4742" s="1"/>
      <c r="I4742" s="1"/>
      <c r="J4742" s="1"/>
      <c r="L4742" s="1"/>
      <c r="M4742" s="1"/>
      <c r="O4742" s="2"/>
      <c r="P4742" s="2"/>
    </row>
    <row r="4743" spans="1:16" x14ac:dyDescent="0.25">
      <c r="A4743" s="2"/>
      <c r="B4743" s="2"/>
      <c r="F4743" s="1"/>
      <c r="G4743" s="1"/>
      <c r="I4743" s="1"/>
      <c r="J4743" s="1"/>
      <c r="L4743" s="1"/>
      <c r="M4743" s="1"/>
      <c r="O4743" s="2"/>
      <c r="P4743" s="2"/>
    </row>
    <row r="4744" spans="1:16" x14ac:dyDescent="0.25">
      <c r="A4744" s="2"/>
      <c r="B4744" s="2"/>
      <c r="F4744" s="1"/>
      <c r="G4744" s="1"/>
      <c r="I4744" s="1"/>
      <c r="J4744" s="1"/>
      <c r="L4744" s="1"/>
      <c r="M4744" s="1"/>
      <c r="O4744" s="2"/>
      <c r="P4744" s="2"/>
    </row>
    <row r="4745" spans="1:16" x14ac:dyDescent="0.25">
      <c r="A4745" s="2"/>
      <c r="B4745" s="2"/>
      <c r="F4745" s="1"/>
      <c r="G4745" s="1"/>
      <c r="I4745" s="1"/>
      <c r="J4745" s="1"/>
      <c r="L4745" s="1"/>
      <c r="M4745" s="1"/>
      <c r="O4745" s="2"/>
      <c r="P4745" s="2"/>
    </row>
    <row r="4746" spans="1:16" x14ac:dyDescent="0.25">
      <c r="A4746" s="2"/>
      <c r="B4746" s="2"/>
      <c r="F4746" s="1"/>
      <c r="G4746" s="1"/>
      <c r="I4746" s="1"/>
      <c r="J4746" s="1"/>
      <c r="L4746" s="1"/>
      <c r="M4746" s="1"/>
      <c r="O4746" s="2"/>
      <c r="P4746" s="2"/>
    </row>
    <row r="4747" spans="1:16" x14ac:dyDescent="0.25">
      <c r="A4747" s="2"/>
      <c r="B4747" s="2"/>
      <c r="F4747" s="1"/>
      <c r="G4747" s="1"/>
      <c r="I4747" s="1"/>
      <c r="J4747" s="1"/>
      <c r="L4747" s="1"/>
      <c r="M4747" s="1"/>
      <c r="O4747" s="2"/>
      <c r="P4747" s="2"/>
    </row>
    <row r="4748" spans="1:16" x14ac:dyDescent="0.25">
      <c r="A4748" s="2"/>
      <c r="B4748" s="2"/>
      <c r="F4748" s="1"/>
      <c r="G4748" s="1"/>
      <c r="I4748" s="1"/>
      <c r="J4748" s="1"/>
      <c r="L4748" s="1"/>
      <c r="M4748" s="1"/>
      <c r="O4748" s="2"/>
      <c r="P4748" s="2"/>
    </row>
    <row r="4749" spans="1:16" x14ac:dyDescent="0.25">
      <c r="A4749" s="2"/>
      <c r="B4749" s="2"/>
      <c r="F4749" s="1"/>
      <c r="G4749" s="1"/>
      <c r="I4749" s="1"/>
      <c r="J4749" s="1"/>
      <c r="L4749" s="1"/>
      <c r="M4749" s="1"/>
      <c r="O4749" s="2"/>
      <c r="P4749" s="2"/>
    </row>
    <row r="4750" spans="1:16" x14ac:dyDescent="0.25">
      <c r="A4750" s="2"/>
      <c r="B4750" s="2"/>
      <c r="F4750" s="1"/>
      <c r="G4750" s="1"/>
      <c r="I4750" s="1"/>
      <c r="J4750" s="1"/>
      <c r="L4750" s="1"/>
      <c r="M4750" s="1"/>
      <c r="O4750" s="2"/>
      <c r="P4750" s="2"/>
    </row>
    <row r="4751" spans="1:16" x14ac:dyDescent="0.25">
      <c r="A4751" s="2"/>
      <c r="B4751" s="2"/>
      <c r="F4751" s="1"/>
      <c r="G4751" s="1"/>
      <c r="I4751" s="1"/>
      <c r="J4751" s="1"/>
      <c r="L4751" s="1"/>
      <c r="M4751" s="1"/>
      <c r="O4751" s="2"/>
      <c r="P4751" s="2"/>
    </row>
    <row r="4752" spans="1:16" x14ac:dyDescent="0.25">
      <c r="A4752" s="2"/>
      <c r="B4752" s="2"/>
      <c r="F4752" s="1"/>
      <c r="G4752" s="1"/>
      <c r="I4752" s="1"/>
      <c r="J4752" s="1"/>
      <c r="L4752" s="1"/>
      <c r="M4752" s="1"/>
      <c r="O4752" s="2"/>
      <c r="P4752" s="2"/>
    </row>
    <row r="4753" spans="1:16" x14ac:dyDescent="0.25">
      <c r="A4753" s="2"/>
      <c r="B4753" s="2"/>
      <c r="F4753" s="1"/>
      <c r="G4753" s="1"/>
      <c r="I4753" s="1"/>
      <c r="J4753" s="1"/>
      <c r="L4753" s="1"/>
      <c r="M4753" s="1"/>
      <c r="O4753" s="2"/>
      <c r="P4753" s="2"/>
    </row>
    <row r="4754" spans="1:16" x14ac:dyDescent="0.25">
      <c r="A4754" s="2"/>
      <c r="B4754" s="2"/>
      <c r="F4754" s="1"/>
      <c r="G4754" s="1"/>
      <c r="I4754" s="1"/>
      <c r="J4754" s="1"/>
      <c r="L4754" s="1"/>
      <c r="M4754" s="1"/>
      <c r="O4754" s="2"/>
      <c r="P4754" s="2"/>
    </row>
    <row r="4755" spans="1:16" x14ac:dyDescent="0.25">
      <c r="A4755" s="2"/>
      <c r="B4755" s="2"/>
      <c r="F4755" s="1"/>
      <c r="G4755" s="1"/>
      <c r="I4755" s="1"/>
      <c r="J4755" s="1"/>
      <c r="L4755" s="1"/>
      <c r="M4755" s="1"/>
      <c r="O4755" s="2"/>
      <c r="P4755" s="2"/>
    </row>
    <row r="4756" spans="1:16" x14ac:dyDescent="0.25">
      <c r="A4756" s="2"/>
      <c r="B4756" s="2"/>
      <c r="F4756" s="1"/>
      <c r="G4756" s="1"/>
      <c r="I4756" s="1"/>
      <c r="J4756" s="1"/>
      <c r="L4756" s="1"/>
      <c r="M4756" s="1"/>
      <c r="O4756" s="2"/>
      <c r="P4756" s="2"/>
    </row>
    <row r="4757" spans="1:16" x14ac:dyDescent="0.25">
      <c r="A4757" s="2"/>
      <c r="B4757" s="2"/>
      <c r="F4757" s="1"/>
      <c r="G4757" s="1"/>
      <c r="I4757" s="1"/>
      <c r="J4757" s="1"/>
      <c r="L4757" s="1"/>
      <c r="M4757" s="1"/>
      <c r="O4757" s="2"/>
      <c r="P4757" s="2"/>
    </row>
    <row r="4758" spans="1:16" x14ac:dyDescent="0.25">
      <c r="A4758" s="2"/>
      <c r="B4758" s="2"/>
      <c r="F4758" s="1"/>
      <c r="G4758" s="1"/>
      <c r="I4758" s="1"/>
      <c r="J4758" s="1"/>
      <c r="L4758" s="1"/>
      <c r="M4758" s="1"/>
      <c r="O4758" s="2"/>
      <c r="P4758" s="2"/>
    </row>
    <row r="4759" spans="1:16" x14ac:dyDescent="0.25">
      <c r="A4759" s="2"/>
      <c r="B4759" s="2"/>
      <c r="F4759" s="1"/>
      <c r="G4759" s="1"/>
      <c r="I4759" s="1"/>
      <c r="J4759" s="1"/>
      <c r="L4759" s="1"/>
      <c r="M4759" s="1"/>
      <c r="O4759" s="2"/>
      <c r="P4759" s="2"/>
    </row>
    <row r="4760" spans="1:16" x14ac:dyDescent="0.25">
      <c r="A4760" s="2"/>
      <c r="B4760" s="2"/>
      <c r="F4760" s="1"/>
      <c r="G4760" s="1"/>
      <c r="I4760" s="1"/>
      <c r="J4760" s="1"/>
      <c r="L4760" s="1"/>
      <c r="M4760" s="1"/>
      <c r="O4760" s="2"/>
      <c r="P4760" s="2"/>
    </row>
    <row r="4761" spans="1:16" x14ac:dyDescent="0.25">
      <c r="A4761" s="2"/>
      <c r="B4761" s="2"/>
      <c r="F4761" s="1"/>
      <c r="G4761" s="1"/>
      <c r="I4761" s="1"/>
      <c r="J4761" s="1"/>
      <c r="L4761" s="1"/>
      <c r="M4761" s="1"/>
      <c r="O4761" s="2"/>
      <c r="P4761" s="2"/>
    </row>
    <row r="4762" spans="1:16" x14ac:dyDescent="0.25">
      <c r="A4762" s="2"/>
      <c r="B4762" s="2"/>
      <c r="F4762" s="1"/>
      <c r="G4762" s="1"/>
      <c r="I4762" s="1"/>
      <c r="J4762" s="1"/>
      <c r="L4762" s="1"/>
      <c r="M4762" s="1"/>
      <c r="O4762" s="2"/>
      <c r="P4762" s="2"/>
    </row>
    <row r="4763" spans="1:16" x14ac:dyDescent="0.25">
      <c r="A4763" s="2"/>
      <c r="B4763" s="2"/>
      <c r="F4763" s="1"/>
      <c r="G4763" s="1"/>
      <c r="I4763" s="1"/>
      <c r="J4763" s="1"/>
      <c r="L4763" s="1"/>
      <c r="M4763" s="1"/>
      <c r="O4763" s="2"/>
      <c r="P4763" s="2"/>
    </row>
    <row r="4764" spans="1:16" x14ac:dyDescent="0.25">
      <c r="A4764" s="2"/>
      <c r="B4764" s="2"/>
      <c r="F4764" s="1"/>
      <c r="G4764" s="1"/>
      <c r="I4764" s="1"/>
      <c r="J4764" s="1"/>
      <c r="L4764" s="1"/>
      <c r="M4764" s="1"/>
      <c r="O4764" s="2"/>
      <c r="P4764" s="2"/>
    </row>
    <row r="4765" spans="1:16" x14ac:dyDescent="0.25">
      <c r="A4765" s="2"/>
      <c r="B4765" s="2"/>
      <c r="F4765" s="1"/>
      <c r="G4765" s="1"/>
      <c r="I4765" s="1"/>
      <c r="J4765" s="1"/>
      <c r="L4765" s="1"/>
      <c r="M4765" s="1"/>
      <c r="O4765" s="2"/>
      <c r="P4765" s="2"/>
    </row>
    <row r="4766" spans="1:16" x14ac:dyDescent="0.25">
      <c r="A4766" s="2"/>
      <c r="B4766" s="2"/>
      <c r="F4766" s="1"/>
      <c r="G4766" s="1"/>
      <c r="I4766" s="1"/>
      <c r="J4766" s="1"/>
      <c r="L4766" s="1"/>
      <c r="M4766" s="1"/>
      <c r="O4766" s="2"/>
      <c r="P4766" s="2"/>
    </row>
    <row r="4767" spans="1:16" x14ac:dyDescent="0.25">
      <c r="A4767" s="2"/>
      <c r="B4767" s="2"/>
      <c r="F4767" s="1"/>
      <c r="G4767" s="1"/>
      <c r="I4767" s="1"/>
      <c r="J4767" s="1"/>
      <c r="L4767" s="1"/>
      <c r="M4767" s="1"/>
      <c r="O4767" s="2"/>
      <c r="P4767" s="2"/>
    </row>
    <row r="4768" spans="1:16" x14ac:dyDescent="0.25">
      <c r="A4768" s="2"/>
      <c r="B4768" s="2"/>
      <c r="F4768" s="1"/>
      <c r="G4768" s="1"/>
      <c r="I4768" s="1"/>
      <c r="J4768" s="1"/>
      <c r="L4768" s="1"/>
      <c r="M4768" s="1"/>
      <c r="O4768" s="2"/>
      <c r="P4768" s="2"/>
    </row>
    <row r="4769" spans="1:16" x14ac:dyDescent="0.25">
      <c r="A4769" s="2"/>
      <c r="B4769" s="2"/>
      <c r="F4769" s="1"/>
      <c r="G4769" s="1"/>
      <c r="I4769" s="1"/>
      <c r="J4769" s="1"/>
      <c r="L4769" s="1"/>
      <c r="M4769" s="1"/>
      <c r="O4769" s="2"/>
      <c r="P4769" s="2"/>
    </row>
    <row r="4770" spans="1:16" x14ac:dyDescent="0.25">
      <c r="A4770" s="2"/>
      <c r="B4770" s="2"/>
      <c r="F4770" s="1"/>
      <c r="G4770" s="1"/>
      <c r="I4770" s="1"/>
      <c r="J4770" s="1"/>
      <c r="L4770" s="1"/>
      <c r="M4770" s="1"/>
      <c r="O4770" s="2"/>
      <c r="P4770" s="2"/>
    </row>
    <row r="4771" spans="1:16" x14ac:dyDescent="0.25">
      <c r="A4771" s="2"/>
      <c r="B4771" s="2"/>
      <c r="F4771" s="1"/>
      <c r="G4771" s="1"/>
      <c r="I4771" s="1"/>
      <c r="J4771" s="1"/>
      <c r="L4771" s="1"/>
      <c r="M4771" s="1"/>
      <c r="O4771" s="2"/>
      <c r="P4771" s="2"/>
    </row>
    <row r="4772" spans="1:16" x14ac:dyDescent="0.25">
      <c r="A4772" s="2"/>
      <c r="B4772" s="2"/>
      <c r="F4772" s="1"/>
      <c r="G4772" s="1"/>
      <c r="I4772" s="1"/>
      <c r="J4772" s="1"/>
      <c r="L4772" s="1"/>
      <c r="M4772" s="1"/>
      <c r="O4772" s="2"/>
      <c r="P4772" s="2"/>
    </row>
    <row r="4773" spans="1:16" x14ac:dyDescent="0.25">
      <c r="A4773" s="2"/>
      <c r="B4773" s="2"/>
      <c r="F4773" s="1"/>
      <c r="G4773" s="1"/>
      <c r="I4773" s="1"/>
      <c r="J4773" s="1"/>
      <c r="L4773" s="1"/>
      <c r="M4773" s="1"/>
      <c r="O4773" s="2"/>
      <c r="P4773" s="2"/>
    </row>
    <row r="4774" spans="1:16" x14ac:dyDescent="0.25">
      <c r="A4774" s="2"/>
      <c r="B4774" s="2"/>
      <c r="F4774" s="1"/>
      <c r="G4774" s="1"/>
      <c r="I4774" s="1"/>
      <c r="J4774" s="1"/>
      <c r="L4774" s="1"/>
      <c r="M4774" s="1"/>
      <c r="O4774" s="2"/>
      <c r="P4774" s="2"/>
    </row>
    <row r="4775" spans="1:16" x14ac:dyDescent="0.25">
      <c r="A4775" s="2"/>
      <c r="B4775" s="2"/>
      <c r="F4775" s="1"/>
      <c r="G4775" s="1"/>
      <c r="I4775" s="1"/>
      <c r="J4775" s="1"/>
      <c r="L4775" s="1"/>
      <c r="M4775" s="1"/>
      <c r="O4775" s="2"/>
      <c r="P4775" s="2"/>
    </row>
    <row r="4776" spans="1:16" x14ac:dyDescent="0.25">
      <c r="A4776" s="2"/>
      <c r="B4776" s="2"/>
      <c r="F4776" s="1"/>
      <c r="G4776" s="1"/>
      <c r="I4776" s="1"/>
      <c r="J4776" s="1"/>
      <c r="L4776" s="1"/>
      <c r="M4776" s="1"/>
      <c r="O4776" s="2"/>
      <c r="P4776" s="2"/>
    </row>
    <row r="4777" spans="1:16" x14ac:dyDescent="0.25">
      <c r="A4777" s="2"/>
      <c r="B4777" s="2"/>
      <c r="F4777" s="1"/>
      <c r="G4777" s="1"/>
      <c r="I4777" s="1"/>
      <c r="J4777" s="1"/>
      <c r="L4777" s="1"/>
      <c r="M4777" s="1"/>
      <c r="O4777" s="2"/>
      <c r="P4777" s="2"/>
    </row>
    <row r="4778" spans="1:16" x14ac:dyDescent="0.25">
      <c r="A4778" s="2"/>
      <c r="B4778" s="2"/>
      <c r="F4778" s="1"/>
      <c r="G4778" s="1"/>
      <c r="I4778" s="1"/>
      <c r="J4778" s="1"/>
      <c r="L4778" s="1"/>
      <c r="M4778" s="1"/>
      <c r="O4778" s="2"/>
      <c r="P4778" s="2"/>
    </row>
    <row r="4779" spans="1:16" x14ac:dyDescent="0.25">
      <c r="A4779" s="2"/>
      <c r="B4779" s="2"/>
      <c r="F4779" s="1"/>
      <c r="G4779" s="1"/>
      <c r="I4779" s="1"/>
      <c r="J4779" s="1"/>
      <c r="L4779" s="1"/>
      <c r="M4779" s="1"/>
      <c r="O4779" s="2"/>
      <c r="P4779" s="2"/>
    </row>
    <row r="4780" spans="1:16" x14ac:dyDescent="0.25">
      <c r="A4780" s="2"/>
      <c r="B4780" s="2"/>
      <c r="F4780" s="1"/>
      <c r="G4780" s="1"/>
      <c r="I4780" s="1"/>
      <c r="J4780" s="1"/>
      <c r="L4780" s="1"/>
      <c r="M4780" s="1"/>
      <c r="O4780" s="2"/>
      <c r="P4780" s="2"/>
    </row>
    <row r="4781" spans="1:16" x14ac:dyDescent="0.25">
      <c r="A4781" s="2"/>
      <c r="B4781" s="2"/>
      <c r="F4781" s="1"/>
      <c r="G4781" s="1"/>
      <c r="I4781" s="1"/>
      <c r="J4781" s="1"/>
      <c r="L4781" s="1"/>
      <c r="M4781" s="1"/>
      <c r="O4781" s="2"/>
      <c r="P4781" s="2"/>
    </row>
    <row r="4782" spans="1:16" x14ac:dyDescent="0.25">
      <c r="A4782" s="2"/>
      <c r="B4782" s="2"/>
      <c r="F4782" s="1"/>
      <c r="G4782" s="1"/>
      <c r="I4782" s="1"/>
      <c r="J4782" s="1"/>
      <c r="L4782" s="1"/>
      <c r="M4782" s="1"/>
      <c r="O4782" s="2"/>
      <c r="P4782" s="2"/>
    </row>
    <row r="4783" spans="1:16" x14ac:dyDescent="0.25">
      <c r="A4783" s="2"/>
      <c r="B4783" s="2"/>
      <c r="F4783" s="1"/>
      <c r="G4783" s="1"/>
      <c r="I4783" s="1"/>
      <c r="J4783" s="1"/>
      <c r="L4783" s="1"/>
      <c r="M4783" s="1"/>
      <c r="O4783" s="2"/>
      <c r="P4783" s="2"/>
    </row>
    <row r="4784" spans="1:16" x14ac:dyDescent="0.25">
      <c r="A4784" s="2"/>
      <c r="B4784" s="2"/>
      <c r="F4784" s="1"/>
      <c r="G4784" s="1"/>
      <c r="I4784" s="1"/>
      <c r="J4784" s="1"/>
      <c r="L4784" s="1"/>
      <c r="M4784" s="1"/>
      <c r="O4784" s="2"/>
      <c r="P4784" s="2"/>
    </row>
    <row r="4785" spans="1:16" x14ac:dyDescent="0.25">
      <c r="A4785" s="2"/>
      <c r="B4785" s="2"/>
      <c r="F4785" s="1"/>
      <c r="G4785" s="1"/>
      <c r="I4785" s="1"/>
      <c r="J4785" s="1"/>
      <c r="L4785" s="1"/>
      <c r="M4785" s="1"/>
      <c r="O4785" s="2"/>
      <c r="P4785" s="2"/>
    </row>
    <row r="4786" spans="1:16" x14ac:dyDescent="0.25">
      <c r="A4786" s="2"/>
      <c r="B4786" s="2"/>
      <c r="F4786" s="1"/>
      <c r="G4786" s="1"/>
      <c r="I4786" s="1"/>
      <c r="J4786" s="1"/>
      <c r="L4786" s="1"/>
      <c r="M4786" s="1"/>
      <c r="O4786" s="2"/>
      <c r="P4786" s="2"/>
    </row>
    <row r="4787" spans="1:16" x14ac:dyDescent="0.25">
      <c r="A4787" s="2"/>
      <c r="B4787" s="2"/>
      <c r="F4787" s="1"/>
      <c r="G4787" s="1"/>
      <c r="I4787" s="1"/>
      <c r="J4787" s="1"/>
      <c r="L4787" s="1"/>
      <c r="M4787" s="1"/>
      <c r="O4787" s="2"/>
      <c r="P4787" s="2"/>
    </row>
    <row r="4788" spans="1:16" x14ac:dyDescent="0.25">
      <c r="A4788" s="2"/>
      <c r="B4788" s="2"/>
      <c r="F4788" s="1"/>
      <c r="G4788" s="1"/>
      <c r="I4788" s="1"/>
      <c r="J4788" s="1"/>
      <c r="L4788" s="1"/>
      <c r="M4788" s="1"/>
      <c r="O4788" s="2"/>
      <c r="P4788" s="2"/>
    </row>
    <row r="4789" spans="1:16" x14ac:dyDescent="0.25">
      <c r="A4789" s="2"/>
      <c r="B4789" s="2"/>
      <c r="F4789" s="1"/>
      <c r="G4789" s="1"/>
      <c r="I4789" s="1"/>
      <c r="J4789" s="1"/>
      <c r="L4789" s="1"/>
      <c r="M4789" s="1"/>
      <c r="O4789" s="2"/>
      <c r="P4789" s="2"/>
    </row>
    <row r="4790" spans="1:16" x14ac:dyDescent="0.25">
      <c r="A4790" s="2"/>
      <c r="B4790" s="2"/>
      <c r="F4790" s="1"/>
      <c r="G4790" s="1"/>
      <c r="I4790" s="1"/>
      <c r="J4790" s="1"/>
      <c r="L4790" s="1"/>
      <c r="M4790" s="1"/>
      <c r="O4790" s="2"/>
      <c r="P4790" s="2"/>
    </row>
    <row r="4791" spans="1:16" x14ac:dyDescent="0.25">
      <c r="A4791" s="2"/>
      <c r="B4791" s="2"/>
      <c r="F4791" s="1"/>
      <c r="G4791" s="1"/>
      <c r="I4791" s="1"/>
      <c r="J4791" s="1"/>
      <c r="L4791" s="1"/>
      <c r="M4791" s="1"/>
      <c r="O4791" s="2"/>
      <c r="P4791" s="2"/>
    </row>
    <row r="4792" spans="1:16" x14ac:dyDescent="0.25">
      <c r="A4792" s="2"/>
      <c r="B4792" s="2"/>
      <c r="F4792" s="1"/>
      <c r="G4792" s="1"/>
      <c r="I4792" s="1"/>
      <c r="J4792" s="1"/>
      <c r="L4792" s="1"/>
      <c r="M4792" s="1"/>
      <c r="O4792" s="2"/>
      <c r="P4792" s="2"/>
    </row>
    <row r="4793" spans="1:16" x14ac:dyDescent="0.25">
      <c r="A4793" s="2"/>
      <c r="B4793" s="2"/>
      <c r="F4793" s="1"/>
      <c r="G4793" s="1"/>
      <c r="I4793" s="1"/>
      <c r="J4793" s="1"/>
      <c r="L4793" s="1"/>
      <c r="M4793" s="1"/>
      <c r="O4793" s="2"/>
      <c r="P4793" s="2"/>
    </row>
    <row r="4794" spans="1:16" x14ac:dyDescent="0.25">
      <c r="A4794" s="2"/>
      <c r="B4794" s="2"/>
      <c r="F4794" s="1"/>
      <c r="G4794" s="1"/>
      <c r="I4794" s="1"/>
      <c r="J4794" s="1"/>
      <c r="L4794" s="1"/>
      <c r="M4794" s="1"/>
      <c r="O4794" s="2"/>
      <c r="P4794" s="2"/>
    </row>
    <row r="4795" spans="1:16" x14ac:dyDescent="0.25">
      <c r="A4795" s="2"/>
      <c r="B4795" s="2"/>
      <c r="F4795" s="1"/>
      <c r="G4795" s="1"/>
      <c r="I4795" s="1"/>
      <c r="J4795" s="1"/>
      <c r="L4795" s="1"/>
      <c r="M4795" s="1"/>
      <c r="O4795" s="2"/>
      <c r="P4795" s="2"/>
    </row>
    <row r="4796" spans="1:16" x14ac:dyDescent="0.25">
      <c r="A4796" s="2"/>
      <c r="B4796" s="2"/>
      <c r="F4796" s="1"/>
      <c r="G4796" s="1"/>
      <c r="I4796" s="1"/>
      <c r="J4796" s="1"/>
      <c r="L4796" s="1"/>
      <c r="M4796" s="1"/>
      <c r="O4796" s="2"/>
      <c r="P4796" s="2"/>
    </row>
    <row r="4797" spans="1:16" x14ac:dyDescent="0.25">
      <c r="A4797" s="2"/>
      <c r="B4797" s="2"/>
      <c r="F4797" s="1"/>
      <c r="G4797" s="1"/>
      <c r="I4797" s="1"/>
      <c r="J4797" s="1"/>
      <c r="L4797" s="1"/>
      <c r="M4797" s="1"/>
      <c r="O4797" s="2"/>
      <c r="P4797" s="2"/>
    </row>
    <row r="4798" spans="1:16" x14ac:dyDescent="0.25">
      <c r="A4798" s="2"/>
      <c r="B4798" s="2"/>
      <c r="F4798" s="1"/>
      <c r="G4798" s="1"/>
      <c r="I4798" s="1"/>
      <c r="J4798" s="1"/>
      <c r="L4798" s="1"/>
      <c r="M4798" s="1"/>
      <c r="O4798" s="2"/>
      <c r="P4798" s="2"/>
    </row>
    <row r="4799" spans="1:16" x14ac:dyDescent="0.25">
      <c r="A4799" s="2"/>
      <c r="B4799" s="2"/>
      <c r="F4799" s="1"/>
      <c r="G4799" s="1"/>
      <c r="I4799" s="1"/>
      <c r="J4799" s="1"/>
      <c r="L4799" s="1"/>
      <c r="M4799" s="1"/>
      <c r="O4799" s="2"/>
      <c r="P4799" s="2"/>
    </row>
    <row r="4800" spans="1:16" x14ac:dyDescent="0.25">
      <c r="A4800" s="2"/>
      <c r="B4800" s="2"/>
      <c r="F4800" s="1"/>
      <c r="G4800" s="1"/>
      <c r="I4800" s="1"/>
      <c r="J4800" s="1"/>
      <c r="L4800" s="1"/>
      <c r="M4800" s="1"/>
      <c r="O4800" s="2"/>
      <c r="P4800" s="2"/>
    </row>
    <row r="4801" spans="1:16" x14ac:dyDescent="0.25">
      <c r="A4801" s="2"/>
      <c r="B4801" s="2"/>
      <c r="F4801" s="1"/>
      <c r="G4801" s="1"/>
      <c r="I4801" s="1"/>
      <c r="J4801" s="1"/>
      <c r="L4801" s="1"/>
      <c r="M4801" s="1"/>
      <c r="O4801" s="2"/>
      <c r="P4801" s="2"/>
    </row>
    <row r="4802" spans="1:16" x14ac:dyDescent="0.25">
      <c r="A4802" s="2"/>
      <c r="B4802" s="2"/>
      <c r="F4802" s="1"/>
      <c r="G4802" s="1"/>
      <c r="I4802" s="1"/>
      <c r="J4802" s="1"/>
      <c r="L4802" s="1"/>
      <c r="M4802" s="1"/>
      <c r="O4802" s="2"/>
      <c r="P4802" s="2"/>
    </row>
    <row r="4803" spans="1:16" x14ac:dyDescent="0.25">
      <c r="A4803" s="2"/>
      <c r="B4803" s="2"/>
      <c r="F4803" s="1"/>
      <c r="G4803" s="1"/>
      <c r="I4803" s="1"/>
      <c r="J4803" s="1"/>
      <c r="L4803" s="1"/>
      <c r="M4803" s="1"/>
      <c r="O4803" s="2"/>
      <c r="P4803" s="2"/>
    </row>
    <row r="4804" spans="1:16" x14ac:dyDescent="0.25">
      <c r="A4804" s="2"/>
      <c r="B4804" s="2"/>
      <c r="F4804" s="1"/>
      <c r="G4804" s="1"/>
      <c r="I4804" s="1"/>
      <c r="J4804" s="1"/>
      <c r="L4804" s="1"/>
      <c r="M4804" s="1"/>
      <c r="O4804" s="2"/>
      <c r="P4804" s="2"/>
    </row>
    <row r="4805" spans="1:16" x14ac:dyDescent="0.25">
      <c r="A4805" s="2"/>
      <c r="B4805" s="2"/>
      <c r="F4805" s="1"/>
      <c r="G4805" s="1"/>
      <c r="I4805" s="1"/>
      <c r="J4805" s="1"/>
      <c r="L4805" s="1"/>
      <c r="M4805" s="1"/>
      <c r="O4805" s="2"/>
      <c r="P4805" s="2"/>
    </row>
    <row r="4806" spans="1:16" x14ac:dyDescent="0.25">
      <c r="A4806" s="2"/>
      <c r="B4806" s="2"/>
      <c r="F4806" s="1"/>
      <c r="G4806" s="1"/>
      <c r="I4806" s="1"/>
      <c r="J4806" s="1"/>
      <c r="L4806" s="1"/>
      <c r="M4806" s="1"/>
      <c r="O4806" s="2"/>
      <c r="P4806" s="2"/>
    </row>
    <row r="4807" spans="1:16" x14ac:dyDescent="0.25">
      <c r="A4807" s="2"/>
      <c r="B4807" s="2"/>
      <c r="F4807" s="1"/>
      <c r="G4807" s="1"/>
      <c r="I4807" s="1"/>
      <c r="J4807" s="1"/>
      <c r="L4807" s="1"/>
      <c r="M4807" s="1"/>
      <c r="O4807" s="2"/>
      <c r="P4807" s="2"/>
    </row>
    <row r="4808" spans="1:16" x14ac:dyDescent="0.25">
      <c r="A4808" s="2"/>
      <c r="B4808" s="2"/>
      <c r="F4808" s="1"/>
      <c r="G4808" s="1"/>
      <c r="I4808" s="1"/>
      <c r="J4808" s="1"/>
      <c r="L4808" s="1"/>
      <c r="M4808" s="1"/>
      <c r="O4808" s="2"/>
      <c r="P4808" s="2"/>
    </row>
    <row r="4809" spans="1:16" x14ac:dyDescent="0.25">
      <c r="A4809" s="2"/>
      <c r="B4809" s="2"/>
      <c r="F4809" s="1"/>
      <c r="G4809" s="1"/>
      <c r="I4809" s="1"/>
      <c r="J4809" s="1"/>
      <c r="L4809" s="1"/>
      <c r="M4809" s="1"/>
      <c r="O4809" s="2"/>
      <c r="P4809" s="2"/>
    </row>
    <row r="4810" spans="1:16" x14ac:dyDescent="0.25">
      <c r="A4810" s="2"/>
      <c r="B4810" s="2"/>
      <c r="F4810" s="1"/>
      <c r="G4810" s="1"/>
      <c r="I4810" s="1"/>
      <c r="J4810" s="1"/>
      <c r="L4810" s="1"/>
      <c r="M4810" s="1"/>
      <c r="O4810" s="2"/>
      <c r="P4810" s="2"/>
    </row>
    <row r="4811" spans="1:16" x14ac:dyDescent="0.25">
      <c r="A4811" s="2"/>
      <c r="B4811" s="2"/>
      <c r="F4811" s="1"/>
      <c r="G4811" s="1"/>
      <c r="I4811" s="1"/>
      <c r="J4811" s="1"/>
      <c r="L4811" s="1"/>
      <c r="M4811" s="1"/>
      <c r="O4811" s="2"/>
      <c r="P4811" s="2"/>
    </row>
    <row r="4812" spans="1:16" x14ac:dyDescent="0.25">
      <c r="A4812" s="2"/>
      <c r="B4812" s="2"/>
      <c r="F4812" s="1"/>
      <c r="G4812" s="1"/>
      <c r="I4812" s="1"/>
      <c r="J4812" s="1"/>
      <c r="L4812" s="1"/>
      <c r="M4812" s="1"/>
      <c r="O4812" s="2"/>
      <c r="P4812" s="2"/>
    </row>
    <row r="4813" spans="1:16" x14ac:dyDescent="0.25">
      <c r="A4813" s="2"/>
      <c r="B4813" s="2"/>
      <c r="F4813" s="1"/>
      <c r="G4813" s="1"/>
      <c r="I4813" s="1"/>
      <c r="J4813" s="1"/>
      <c r="L4813" s="1"/>
      <c r="M4813" s="1"/>
      <c r="O4813" s="2"/>
      <c r="P4813" s="2"/>
    </row>
    <row r="4814" spans="1:16" x14ac:dyDescent="0.25">
      <c r="A4814" s="2"/>
      <c r="B4814" s="2"/>
      <c r="F4814" s="1"/>
      <c r="G4814" s="1"/>
      <c r="I4814" s="1"/>
      <c r="J4814" s="1"/>
      <c r="L4814" s="1"/>
      <c r="M4814" s="1"/>
      <c r="O4814" s="2"/>
      <c r="P4814" s="2"/>
    </row>
    <row r="4815" spans="1:16" x14ac:dyDescent="0.25">
      <c r="A4815" s="2"/>
      <c r="B4815" s="2"/>
      <c r="F4815" s="1"/>
      <c r="G4815" s="1"/>
      <c r="I4815" s="1"/>
      <c r="J4815" s="1"/>
      <c r="L4815" s="1"/>
      <c r="M4815" s="1"/>
      <c r="O4815" s="2"/>
      <c r="P4815" s="2"/>
    </row>
    <row r="4816" spans="1:16" x14ac:dyDescent="0.25">
      <c r="A4816" s="2"/>
      <c r="B4816" s="2"/>
      <c r="F4816" s="1"/>
      <c r="G4816" s="1"/>
      <c r="I4816" s="1"/>
      <c r="J4816" s="1"/>
      <c r="L4816" s="1"/>
      <c r="M4816" s="1"/>
      <c r="O4816" s="2"/>
      <c r="P4816" s="2"/>
    </row>
    <row r="4817" spans="1:16" x14ac:dyDescent="0.25">
      <c r="A4817" s="2"/>
      <c r="B4817" s="2"/>
      <c r="F4817" s="1"/>
      <c r="G4817" s="1"/>
      <c r="I4817" s="1"/>
      <c r="J4817" s="1"/>
      <c r="L4817" s="1"/>
      <c r="M4817" s="1"/>
      <c r="O4817" s="2"/>
      <c r="P4817" s="2"/>
    </row>
    <row r="4818" spans="1:16" x14ac:dyDescent="0.25">
      <c r="A4818" s="2"/>
      <c r="B4818" s="2"/>
      <c r="F4818" s="1"/>
      <c r="G4818" s="1"/>
      <c r="I4818" s="1"/>
      <c r="J4818" s="1"/>
      <c r="L4818" s="1"/>
      <c r="M4818" s="1"/>
      <c r="O4818" s="2"/>
      <c r="P4818" s="2"/>
    </row>
    <row r="4819" spans="1:16" x14ac:dyDescent="0.25">
      <c r="A4819" s="2"/>
      <c r="B4819" s="2"/>
      <c r="F4819" s="1"/>
      <c r="G4819" s="1"/>
      <c r="I4819" s="1"/>
      <c r="J4819" s="1"/>
      <c r="L4819" s="1"/>
      <c r="M4819" s="1"/>
      <c r="O4819" s="2"/>
      <c r="P4819" s="2"/>
    </row>
    <row r="4820" spans="1:16" x14ac:dyDescent="0.25">
      <c r="A4820" s="2"/>
      <c r="B4820" s="2"/>
      <c r="F4820" s="1"/>
      <c r="G4820" s="1"/>
      <c r="I4820" s="1"/>
      <c r="J4820" s="1"/>
      <c r="L4820" s="1"/>
      <c r="M4820" s="1"/>
      <c r="O4820" s="2"/>
      <c r="P4820" s="2"/>
    </row>
    <row r="4821" spans="1:16" x14ac:dyDescent="0.25">
      <c r="A4821" s="2"/>
      <c r="B4821" s="2"/>
      <c r="F4821" s="1"/>
      <c r="G4821" s="1"/>
      <c r="I4821" s="1"/>
      <c r="J4821" s="1"/>
      <c r="L4821" s="1"/>
      <c r="M4821" s="1"/>
      <c r="O4821" s="2"/>
      <c r="P4821" s="2"/>
    </row>
    <row r="4822" spans="1:16" x14ac:dyDescent="0.25">
      <c r="A4822" s="2"/>
      <c r="B4822" s="2"/>
      <c r="F4822" s="1"/>
      <c r="G4822" s="1"/>
      <c r="I4822" s="1"/>
      <c r="J4822" s="1"/>
      <c r="L4822" s="1"/>
      <c r="M4822" s="1"/>
      <c r="O4822" s="2"/>
      <c r="P4822" s="2"/>
    </row>
    <row r="4823" spans="1:16" x14ac:dyDescent="0.25">
      <c r="A4823" s="2"/>
      <c r="B4823" s="2"/>
      <c r="F4823" s="1"/>
      <c r="G4823" s="1"/>
      <c r="I4823" s="1"/>
      <c r="J4823" s="1"/>
      <c r="L4823" s="1"/>
      <c r="M4823" s="1"/>
      <c r="O4823" s="2"/>
      <c r="P4823" s="2"/>
    </row>
    <row r="4824" spans="1:16" x14ac:dyDescent="0.25">
      <c r="A4824" s="2"/>
      <c r="B4824" s="2"/>
      <c r="F4824" s="1"/>
      <c r="G4824" s="1"/>
      <c r="I4824" s="1"/>
      <c r="J4824" s="1"/>
      <c r="L4824" s="1"/>
      <c r="M4824" s="1"/>
      <c r="O4824" s="2"/>
      <c r="P4824" s="2"/>
    </row>
    <row r="4825" spans="1:16" x14ac:dyDescent="0.25">
      <c r="A4825" s="2"/>
      <c r="B4825" s="2"/>
      <c r="F4825" s="1"/>
      <c r="G4825" s="1"/>
      <c r="I4825" s="1"/>
      <c r="J4825" s="1"/>
      <c r="L4825" s="1"/>
      <c r="M4825" s="1"/>
      <c r="O4825" s="2"/>
      <c r="P4825" s="2"/>
    </row>
    <row r="4826" spans="1:16" x14ac:dyDescent="0.25">
      <c r="A4826" s="2"/>
      <c r="B4826" s="2"/>
      <c r="F4826" s="1"/>
      <c r="G4826" s="1"/>
      <c r="I4826" s="1"/>
      <c r="J4826" s="1"/>
      <c r="L4826" s="1"/>
      <c r="M4826" s="1"/>
      <c r="O4826" s="2"/>
      <c r="P4826" s="2"/>
    </row>
    <row r="4827" spans="1:16" x14ac:dyDescent="0.25">
      <c r="A4827" s="2"/>
      <c r="B4827" s="2"/>
      <c r="F4827" s="1"/>
      <c r="G4827" s="1"/>
      <c r="I4827" s="1"/>
      <c r="J4827" s="1"/>
      <c r="L4827" s="1"/>
      <c r="M4827" s="1"/>
      <c r="O4827" s="2"/>
      <c r="P4827" s="2"/>
    </row>
    <row r="4828" spans="1:16" x14ac:dyDescent="0.25">
      <c r="A4828" s="2"/>
      <c r="B4828" s="2"/>
      <c r="F4828" s="1"/>
      <c r="G4828" s="1"/>
      <c r="I4828" s="1"/>
      <c r="J4828" s="1"/>
      <c r="L4828" s="1"/>
      <c r="M4828" s="1"/>
      <c r="O4828" s="2"/>
      <c r="P4828" s="2"/>
    </row>
    <row r="4829" spans="1:16" x14ac:dyDescent="0.25">
      <c r="A4829" s="2"/>
      <c r="B4829" s="2"/>
      <c r="F4829" s="1"/>
      <c r="G4829" s="1"/>
      <c r="I4829" s="1"/>
      <c r="J4829" s="1"/>
      <c r="L4829" s="1"/>
      <c r="M4829" s="1"/>
      <c r="O4829" s="2"/>
      <c r="P4829" s="2"/>
    </row>
    <row r="4830" spans="1:16" x14ac:dyDescent="0.25">
      <c r="A4830" s="2"/>
      <c r="B4830" s="2"/>
      <c r="F4830" s="1"/>
      <c r="G4830" s="1"/>
      <c r="I4830" s="1"/>
      <c r="J4830" s="1"/>
      <c r="L4830" s="1"/>
      <c r="M4830" s="1"/>
      <c r="O4830" s="2"/>
      <c r="P4830" s="2"/>
    </row>
    <row r="4831" spans="1:16" x14ac:dyDescent="0.25">
      <c r="A4831" s="2"/>
      <c r="B4831" s="2"/>
      <c r="F4831" s="1"/>
      <c r="G4831" s="1"/>
      <c r="I4831" s="1"/>
      <c r="J4831" s="1"/>
      <c r="L4831" s="1"/>
      <c r="M4831" s="1"/>
      <c r="O4831" s="2"/>
      <c r="P4831" s="2"/>
    </row>
    <row r="4832" spans="1:16" x14ac:dyDescent="0.25">
      <c r="A4832" s="2"/>
      <c r="B4832" s="2"/>
      <c r="F4832" s="1"/>
      <c r="G4832" s="1"/>
      <c r="I4832" s="1"/>
      <c r="J4832" s="1"/>
      <c r="L4832" s="1"/>
      <c r="M4832" s="1"/>
      <c r="O4832" s="2"/>
      <c r="P4832" s="2"/>
    </row>
    <row r="4833" spans="1:16" x14ac:dyDescent="0.25">
      <c r="A4833" s="2"/>
      <c r="B4833" s="2"/>
      <c r="F4833" s="1"/>
      <c r="G4833" s="1"/>
      <c r="I4833" s="1"/>
      <c r="J4833" s="1"/>
      <c r="L4833" s="1"/>
      <c r="M4833" s="1"/>
      <c r="O4833" s="2"/>
      <c r="P4833" s="2"/>
    </row>
    <row r="4834" spans="1:16" x14ac:dyDescent="0.25">
      <c r="A4834" s="2"/>
      <c r="B4834" s="2"/>
      <c r="F4834" s="1"/>
      <c r="G4834" s="1"/>
      <c r="I4834" s="1"/>
      <c r="J4834" s="1"/>
      <c r="L4834" s="1"/>
      <c r="M4834" s="1"/>
      <c r="O4834" s="2"/>
      <c r="P4834" s="2"/>
    </row>
    <row r="4835" spans="1:16" x14ac:dyDescent="0.25">
      <c r="A4835" s="2"/>
      <c r="B4835" s="2"/>
      <c r="F4835" s="1"/>
      <c r="G4835" s="1"/>
      <c r="I4835" s="1"/>
      <c r="J4835" s="1"/>
      <c r="L4835" s="1"/>
      <c r="M4835" s="1"/>
      <c r="O4835" s="2"/>
      <c r="P4835" s="2"/>
    </row>
    <row r="4836" spans="1:16" x14ac:dyDescent="0.25">
      <c r="A4836" s="2"/>
      <c r="B4836" s="2"/>
      <c r="F4836" s="1"/>
      <c r="G4836" s="1"/>
      <c r="I4836" s="1"/>
      <c r="J4836" s="1"/>
      <c r="L4836" s="1"/>
      <c r="M4836" s="1"/>
      <c r="O4836" s="2"/>
      <c r="P4836" s="2"/>
    </row>
    <row r="4837" spans="1:16" x14ac:dyDescent="0.25">
      <c r="A4837" s="2"/>
      <c r="B4837" s="2"/>
      <c r="F4837" s="1"/>
      <c r="G4837" s="1"/>
      <c r="I4837" s="1"/>
      <c r="J4837" s="1"/>
      <c r="L4837" s="1"/>
      <c r="M4837" s="1"/>
      <c r="O4837" s="2"/>
      <c r="P4837" s="2"/>
    </row>
    <row r="4838" spans="1:16" x14ac:dyDescent="0.25">
      <c r="A4838" s="2"/>
      <c r="B4838" s="2"/>
      <c r="F4838" s="1"/>
      <c r="G4838" s="1"/>
      <c r="I4838" s="1"/>
      <c r="J4838" s="1"/>
      <c r="L4838" s="1"/>
      <c r="M4838" s="1"/>
      <c r="O4838" s="2"/>
      <c r="P4838" s="2"/>
    </row>
    <row r="4839" spans="1:16" x14ac:dyDescent="0.25">
      <c r="A4839" s="2"/>
      <c r="B4839" s="2"/>
      <c r="F4839" s="1"/>
      <c r="G4839" s="1"/>
      <c r="I4839" s="1"/>
      <c r="J4839" s="1"/>
      <c r="L4839" s="1"/>
      <c r="M4839" s="1"/>
      <c r="O4839" s="2"/>
      <c r="P4839" s="2"/>
    </row>
    <row r="4840" spans="1:16" x14ac:dyDescent="0.25">
      <c r="A4840" s="2"/>
      <c r="B4840" s="2"/>
      <c r="F4840" s="1"/>
      <c r="G4840" s="1"/>
      <c r="I4840" s="1"/>
      <c r="J4840" s="1"/>
      <c r="L4840" s="1"/>
      <c r="M4840" s="1"/>
      <c r="O4840" s="2"/>
      <c r="P4840" s="2"/>
    </row>
    <row r="4841" spans="1:16" x14ac:dyDescent="0.25">
      <c r="A4841" s="2"/>
      <c r="B4841" s="2"/>
      <c r="F4841" s="1"/>
      <c r="G4841" s="1"/>
      <c r="I4841" s="1"/>
      <c r="J4841" s="1"/>
      <c r="L4841" s="1"/>
      <c r="M4841" s="1"/>
      <c r="O4841" s="2"/>
      <c r="P4841" s="2"/>
    </row>
    <row r="4842" spans="1:16" x14ac:dyDescent="0.25">
      <c r="A4842" s="2"/>
      <c r="B4842" s="2"/>
      <c r="F4842" s="1"/>
      <c r="G4842" s="1"/>
      <c r="I4842" s="1"/>
      <c r="J4842" s="1"/>
      <c r="L4842" s="1"/>
      <c r="M4842" s="1"/>
      <c r="O4842" s="2"/>
      <c r="P4842" s="2"/>
    </row>
    <row r="4843" spans="1:16" x14ac:dyDescent="0.25">
      <c r="A4843" s="2"/>
      <c r="B4843" s="2"/>
      <c r="F4843" s="1"/>
      <c r="G4843" s="1"/>
      <c r="I4843" s="1"/>
      <c r="J4843" s="1"/>
      <c r="L4843" s="1"/>
      <c r="M4843" s="1"/>
      <c r="O4843" s="2"/>
      <c r="P4843" s="2"/>
    </row>
    <row r="4844" spans="1:16" x14ac:dyDescent="0.25">
      <c r="A4844" s="2"/>
      <c r="B4844" s="2"/>
      <c r="F4844" s="1"/>
      <c r="G4844" s="1"/>
      <c r="I4844" s="1"/>
      <c r="J4844" s="1"/>
      <c r="L4844" s="1"/>
      <c r="M4844" s="1"/>
      <c r="O4844" s="2"/>
      <c r="P4844" s="2"/>
    </row>
    <row r="4845" spans="1:16" x14ac:dyDescent="0.25">
      <c r="A4845" s="2"/>
      <c r="B4845" s="2"/>
      <c r="F4845" s="1"/>
      <c r="G4845" s="1"/>
      <c r="I4845" s="1"/>
      <c r="J4845" s="1"/>
      <c r="L4845" s="1"/>
      <c r="M4845" s="1"/>
      <c r="O4845" s="2"/>
      <c r="P4845" s="2"/>
    </row>
    <row r="4846" spans="1:16" x14ac:dyDescent="0.25">
      <c r="A4846" s="2"/>
      <c r="B4846" s="2"/>
      <c r="F4846" s="1"/>
      <c r="G4846" s="1"/>
      <c r="I4846" s="1"/>
      <c r="J4846" s="1"/>
      <c r="L4846" s="1"/>
      <c r="M4846" s="1"/>
      <c r="O4846" s="2"/>
      <c r="P4846" s="2"/>
    </row>
    <row r="4847" spans="1:16" x14ac:dyDescent="0.25">
      <c r="A4847" s="2"/>
      <c r="B4847" s="2"/>
      <c r="F4847" s="1"/>
      <c r="G4847" s="1"/>
      <c r="I4847" s="1"/>
      <c r="J4847" s="1"/>
      <c r="L4847" s="1"/>
      <c r="M4847" s="1"/>
      <c r="O4847" s="2"/>
      <c r="P4847" s="2"/>
    </row>
    <row r="4848" spans="1:16" x14ac:dyDescent="0.25">
      <c r="A4848" s="2"/>
      <c r="B4848" s="2"/>
      <c r="F4848" s="1"/>
      <c r="G4848" s="1"/>
      <c r="I4848" s="1"/>
      <c r="J4848" s="1"/>
      <c r="L4848" s="1"/>
      <c r="M4848" s="1"/>
      <c r="O4848" s="2"/>
      <c r="P4848" s="2"/>
    </row>
    <row r="4849" spans="1:16" x14ac:dyDescent="0.25">
      <c r="A4849" s="2"/>
      <c r="B4849" s="2"/>
      <c r="F4849" s="1"/>
      <c r="G4849" s="1"/>
      <c r="I4849" s="1"/>
      <c r="J4849" s="1"/>
      <c r="L4849" s="1"/>
      <c r="M4849" s="1"/>
      <c r="O4849" s="2"/>
      <c r="P4849" s="2"/>
    </row>
    <row r="4850" spans="1:16" x14ac:dyDescent="0.25">
      <c r="A4850" s="2"/>
      <c r="B4850" s="2"/>
      <c r="F4850" s="1"/>
      <c r="G4850" s="1"/>
      <c r="I4850" s="1"/>
      <c r="J4850" s="1"/>
      <c r="L4850" s="1"/>
      <c r="M4850" s="1"/>
      <c r="O4850" s="2"/>
      <c r="P4850" s="2"/>
    </row>
    <row r="4851" spans="1:16" x14ac:dyDescent="0.25">
      <c r="A4851" s="2"/>
      <c r="B4851" s="2"/>
      <c r="F4851" s="1"/>
      <c r="G4851" s="1"/>
      <c r="I4851" s="1"/>
      <c r="J4851" s="1"/>
      <c r="L4851" s="1"/>
      <c r="M4851" s="1"/>
      <c r="O4851" s="2"/>
      <c r="P4851" s="2"/>
    </row>
    <row r="4852" spans="1:16" x14ac:dyDescent="0.25">
      <c r="A4852" s="2"/>
      <c r="B4852" s="2"/>
      <c r="F4852" s="1"/>
      <c r="G4852" s="1"/>
      <c r="I4852" s="1"/>
      <c r="J4852" s="1"/>
      <c r="L4852" s="1"/>
      <c r="M4852" s="1"/>
      <c r="O4852" s="2"/>
      <c r="P4852" s="2"/>
    </row>
    <row r="4853" spans="1:16" x14ac:dyDescent="0.25">
      <c r="A4853" s="2"/>
      <c r="B4853" s="2"/>
      <c r="F4853" s="1"/>
      <c r="G4853" s="1"/>
      <c r="I4853" s="1"/>
      <c r="J4853" s="1"/>
      <c r="L4853" s="1"/>
      <c r="M4853" s="1"/>
      <c r="O4853" s="2"/>
      <c r="P4853" s="2"/>
    </row>
    <row r="4854" spans="1:16" x14ac:dyDescent="0.25">
      <c r="A4854" s="2"/>
      <c r="B4854" s="2"/>
      <c r="F4854" s="1"/>
      <c r="G4854" s="1"/>
      <c r="I4854" s="1"/>
      <c r="J4854" s="1"/>
      <c r="L4854" s="1"/>
      <c r="M4854" s="1"/>
      <c r="O4854" s="2"/>
      <c r="P4854" s="2"/>
    </row>
    <row r="4855" spans="1:16" x14ac:dyDescent="0.25">
      <c r="A4855" s="2"/>
      <c r="B4855" s="2"/>
      <c r="F4855" s="1"/>
      <c r="G4855" s="1"/>
      <c r="I4855" s="1"/>
      <c r="J4855" s="1"/>
      <c r="L4855" s="1"/>
      <c r="M4855" s="1"/>
      <c r="O4855" s="2"/>
      <c r="P4855" s="2"/>
    </row>
    <row r="4856" spans="1:16" x14ac:dyDescent="0.25">
      <c r="A4856" s="2"/>
      <c r="B4856" s="2"/>
      <c r="F4856" s="1"/>
      <c r="G4856" s="1"/>
      <c r="I4856" s="1"/>
      <c r="J4856" s="1"/>
      <c r="L4856" s="1"/>
      <c r="M4856" s="1"/>
      <c r="O4856" s="2"/>
      <c r="P4856" s="2"/>
    </row>
    <row r="4857" spans="1:16" x14ac:dyDescent="0.25">
      <c r="A4857" s="2"/>
      <c r="B4857" s="2"/>
      <c r="F4857" s="1"/>
      <c r="G4857" s="1"/>
      <c r="I4857" s="1"/>
      <c r="J4857" s="1"/>
      <c r="L4857" s="1"/>
      <c r="M4857" s="1"/>
      <c r="O4857" s="2"/>
      <c r="P4857" s="2"/>
    </row>
    <row r="4858" spans="1:16" x14ac:dyDescent="0.25">
      <c r="A4858" s="2"/>
      <c r="B4858" s="2"/>
      <c r="F4858" s="1"/>
      <c r="G4858" s="1"/>
      <c r="I4858" s="1"/>
      <c r="J4858" s="1"/>
      <c r="L4858" s="1"/>
      <c r="M4858" s="1"/>
      <c r="O4858" s="2"/>
      <c r="P4858" s="2"/>
    </row>
    <row r="4859" spans="1:16" x14ac:dyDescent="0.25">
      <c r="A4859" s="2"/>
      <c r="B4859" s="2"/>
      <c r="F4859" s="1"/>
      <c r="G4859" s="1"/>
      <c r="I4859" s="1"/>
      <c r="J4859" s="1"/>
      <c r="L4859" s="1"/>
      <c r="M4859" s="1"/>
      <c r="O4859" s="2"/>
      <c r="P4859" s="2"/>
    </row>
    <row r="4860" spans="1:16" x14ac:dyDescent="0.25">
      <c r="A4860" s="2"/>
      <c r="B4860" s="2"/>
      <c r="F4860" s="1"/>
      <c r="G4860" s="1"/>
      <c r="I4860" s="1"/>
      <c r="J4860" s="1"/>
      <c r="L4860" s="1"/>
      <c r="M4860" s="1"/>
      <c r="O4860" s="2"/>
      <c r="P4860" s="2"/>
    </row>
    <row r="4861" spans="1:16" x14ac:dyDescent="0.25">
      <c r="A4861" s="2"/>
      <c r="B4861" s="2"/>
      <c r="F4861" s="1"/>
      <c r="G4861" s="1"/>
      <c r="I4861" s="1"/>
      <c r="J4861" s="1"/>
      <c r="L4861" s="1"/>
      <c r="M4861" s="1"/>
      <c r="O4861" s="2"/>
      <c r="P4861" s="2"/>
    </row>
    <row r="4862" spans="1:16" x14ac:dyDescent="0.25">
      <c r="A4862" s="2"/>
      <c r="B4862" s="2"/>
      <c r="F4862" s="1"/>
      <c r="G4862" s="1"/>
      <c r="I4862" s="1"/>
      <c r="J4862" s="1"/>
      <c r="L4862" s="1"/>
      <c r="M4862" s="1"/>
      <c r="O4862" s="2"/>
      <c r="P4862" s="2"/>
    </row>
    <row r="4863" spans="1:16" x14ac:dyDescent="0.25">
      <c r="A4863" s="2"/>
      <c r="B4863" s="2"/>
      <c r="F4863" s="1"/>
      <c r="G4863" s="1"/>
      <c r="I4863" s="1"/>
      <c r="J4863" s="1"/>
      <c r="L4863" s="1"/>
      <c r="M4863" s="1"/>
      <c r="O4863" s="2"/>
      <c r="P4863" s="2"/>
    </row>
    <row r="4864" spans="1:16" x14ac:dyDescent="0.25">
      <c r="A4864" s="2"/>
      <c r="B4864" s="2"/>
      <c r="F4864" s="1"/>
      <c r="G4864" s="1"/>
      <c r="I4864" s="1"/>
      <c r="J4864" s="1"/>
      <c r="L4864" s="1"/>
      <c r="M4864" s="1"/>
      <c r="O4864" s="2"/>
      <c r="P4864" s="2"/>
    </row>
    <row r="4865" spans="1:16" x14ac:dyDescent="0.25">
      <c r="A4865" s="2"/>
      <c r="B4865" s="2"/>
      <c r="F4865" s="1"/>
      <c r="G4865" s="1"/>
      <c r="I4865" s="1"/>
      <c r="J4865" s="1"/>
      <c r="L4865" s="1"/>
      <c r="M4865" s="1"/>
      <c r="O4865" s="2"/>
      <c r="P4865" s="2"/>
    </row>
    <row r="4866" spans="1:16" x14ac:dyDescent="0.25">
      <c r="A4866" s="2"/>
      <c r="B4866" s="2"/>
      <c r="F4866" s="1"/>
      <c r="G4866" s="1"/>
      <c r="I4866" s="1"/>
      <c r="J4866" s="1"/>
      <c r="L4866" s="1"/>
      <c r="M4866" s="1"/>
      <c r="O4866" s="2"/>
      <c r="P4866" s="2"/>
    </row>
    <row r="4867" spans="1:16" x14ac:dyDescent="0.25">
      <c r="A4867" s="2"/>
      <c r="B4867" s="2"/>
      <c r="F4867" s="1"/>
      <c r="G4867" s="1"/>
      <c r="I4867" s="1"/>
      <c r="J4867" s="1"/>
      <c r="L4867" s="1"/>
      <c r="M4867" s="1"/>
      <c r="O4867" s="2"/>
      <c r="P4867" s="2"/>
    </row>
    <row r="4868" spans="1:16" x14ac:dyDescent="0.25">
      <c r="A4868" s="2"/>
      <c r="B4868" s="2"/>
      <c r="F4868" s="1"/>
      <c r="G4868" s="1"/>
      <c r="I4868" s="1"/>
      <c r="J4868" s="1"/>
      <c r="L4868" s="1"/>
      <c r="M4868" s="1"/>
      <c r="O4868" s="2"/>
      <c r="P4868" s="2"/>
    </row>
    <row r="4869" spans="1:16" x14ac:dyDescent="0.25">
      <c r="A4869" s="2"/>
      <c r="B4869" s="2"/>
      <c r="F4869" s="1"/>
      <c r="G4869" s="1"/>
      <c r="I4869" s="1"/>
      <c r="J4869" s="1"/>
      <c r="L4869" s="1"/>
      <c r="M4869" s="1"/>
      <c r="O4869" s="2"/>
      <c r="P4869" s="2"/>
    </row>
    <row r="4870" spans="1:16" x14ac:dyDescent="0.25">
      <c r="A4870" s="2"/>
      <c r="B4870" s="2"/>
      <c r="F4870" s="1"/>
      <c r="G4870" s="1"/>
      <c r="I4870" s="1"/>
      <c r="J4870" s="1"/>
      <c r="L4870" s="1"/>
      <c r="M4870" s="1"/>
      <c r="O4870" s="2"/>
      <c r="P4870" s="2"/>
    </row>
    <row r="4871" spans="1:16" x14ac:dyDescent="0.25">
      <c r="A4871" s="2"/>
      <c r="B4871" s="2"/>
      <c r="F4871" s="1"/>
      <c r="G4871" s="1"/>
      <c r="I4871" s="1"/>
      <c r="J4871" s="1"/>
      <c r="L4871" s="1"/>
      <c r="M4871" s="1"/>
      <c r="O4871" s="2"/>
      <c r="P4871" s="2"/>
    </row>
    <row r="4872" spans="1:16" x14ac:dyDescent="0.25">
      <c r="A4872" s="2"/>
      <c r="B4872" s="2"/>
      <c r="F4872" s="1"/>
      <c r="G4872" s="1"/>
      <c r="I4872" s="1"/>
      <c r="J4872" s="1"/>
      <c r="L4872" s="1"/>
      <c r="M4872" s="1"/>
      <c r="O4872" s="2"/>
      <c r="P4872" s="2"/>
    </row>
    <row r="4873" spans="1:16" x14ac:dyDescent="0.25">
      <c r="A4873" s="2"/>
      <c r="B4873" s="2"/>
      <c r="F4873" s="1"/>
      <c r="G4873" s="1"/>
      <c r="I4873" s="1"/>
      <c r="J4873" s="1"/>
      <c r="L4873" s="1"/>
      <c r="M4873" s="1"/>
      <c r="O4873" s="2"/>
      <c r="P4873" s="2"/>
    </row>
    <row r="4874" spans="1:16" x14ac:dyDescent="0.25">
      <c r="A4874" s="2"/>
      <c r="B4874" s="2"/>
      <c r="F4874" s="1"/>
      <c r="G4874" s="1"/>
      <c r="I4874" s="1"/>
      <c r="J4874" s="1"/>
      <c r="L4874" s="1"/>
      <c r="M4874" s="1"/>
      <c r="O4874" s="2"/>
      <c r="P4874" s="2"/>
    </row>
    <row r="4875" spans="1:16" x14ac:dyDescent="0.25">
      <c r="A4875" s="2"/>
      <c r="B4875" s="2"/>
      <c r="F4875" s="1"/>
      <c r="G4875" s="1"/>
      <c r="I4875" s="1"/>
      <c r="J4875" s="1"/>
      <c r="L4875" s="1"/>
      <c r="M4875" s="1"/>
      <c r="O4875" s="2"/>
      <c r="P4875" s="2"/>
    </row>
    <row r="4876" spans="1:16" x14ac:dyDescent="0.25">
      <c r="A4876" s="2"/>
      <c r="B4876" s="2"/>
      <c r="F4876" s="1"/>
      <c r="G4876" s="1"/>
      <c r="I4876" s="1"/>
      <c r="J4876" s="1"/>
      <c r="L4876" s="1"/>
      <c r="M4876" s="1"/>
      <c r="O4876" s="2"/>
      <c r="P4876" s="2"/>
    </row>
    <row r="4877" spans="1:16" x14ac:dyDescent="0.25">
      <c r="A4877" s="2"/>
      <c r="B4877" s="2"/>
      <c r="F4877" s="1"/>
      <c r="G4877" s="1"/>
      <c r="I4877" s="1"/>
      <c r="J4877" s="1"/>
      <c r="L4877" s="1"/>
      <c r="M4877" s="1"/>
      <c r="O4877" s="2"/>
      <c r="P4877" s="2"/>
    </row>
    <row r="4878" spans="1:16" x14ac:dyDescent="0.25">
      <c r="A4878" s="2"/>
      <c r="B4878" s="2"/>
      <c r="F4878" s="1"/>
      <c r="G4878" s="1"/>
      <c r="I4878" s="1"/>
      <c r="J4878" s="1"/>
      <c r="L4878" s="1"/>
      <c r="M4878" s="1"/>
      <c r="O4878" s="2"/>
      <c r="P4878" s="2"/>
    </row>
    <row r="4879" spans="1:16" x14ac:dyDescent="0.25">
      <c r="A4879" s="2"/>
      <c r="B4879" s="2"/>
      <c r="F4879" s="1"/>
      <c r="G4879" s="1"/>
      <c r="I4879" s="1"/>
      <c r="J4879" s="1"/>
      <c r="L4879" s="1"/>
      <c r="M4879" s="1"/>
      <c r="O4879" s="2"/>
      <c r="P4879" s="2"/>
    </row>
    <row r="4880" spans="1:16" x14ac:dyDescent="0.25">
      <c r="A4880" s="2"/>
      <c r="B4880" s="2"/>
      <c r="F4880" s="1"/>
      <c r="G4880" s="1"/>
      <c r="I4880" s="1"/>
      <c r="J4880" s="1"/>
      <c r="L4880" s="1"/>
      <c r="M4880" s="1"/>
      <c r="O4880" s="2"/>
      <c r="P4880" s="2"/>
    </row>
    <row r="4881" spans="1:16" x14ac:dyDescent="0.25">
      <c r="A4881" s="2"/>
      <c r="B4881" s="2"/>
      <c r="F4881" s="1"/>
      <c r="G4881" s="1"/>
      <c r="I4881" s="1"/>
      <c r="J4881" s="1"/>
      <c r="L4881" s="1"/>
      <c r="M4881" s="1"/>
      <c r="O4881" s="2"/>
      <c r="P4881" s="2"/>
    </row>
    <row r="4882" spans="1:16" x14ac:dyDescent="0.25">
      <c r="A4882" s="2"/>
      <c r="B4882" s="2"/>
      <c r="F4882" s="1"/>
      <c r="G4882" s="1"/>
      <c r="I4882" s="1"/>
      <c r="J4882" s="1"/>
      <c r="L4882" s="1"/>
      <c r="M4882" s="1"/>
      <c r="O4882" s="2"/>
      <c r="P4882" s="2"/>
    </row>
    <row r="4883" spans="1:16" x14ac:dyDescent="0.25">
      <c r="A4883" s="2"/>
      <c r="B4883" s="2"/>
      <c r="F4883" s="1"/>
      <c r="G4883" s="1"/>
      <c r="I4883" s="1"/>
      <c r="J4883" s="1"/>
      <c r="L4883" s="1"/>
      <c r="M4883" s="1"/>
      <c r="O4883" s="2"/>
      <c r="P4883" s="2"/>
    </row>
    <row r="4884" spans="1:16" x14ac:dyDescent="0.25">
      <c r="A4884" s="2"/>
      <c r="B4884" s="2"/>
      <c r="F4884" s="1"/>
      <c r="G4884" s="1"/>
      <c r="I4884" s="1"/>
      <c r="J4884" s="1"/>
      <c r="L4884" s="1"/>
      <c r="M4884" s="1"/>
      <c r="O4884" s="2"/>
      <c r="P4884" s="2"/>
    </row>
    <row r="4885" spans="1:16" x14ac:dyDescent="0.25">
      <c r="A4885" s="2"/>
      <c r="B4885" s="2"/>
      <c r="F4885" s="1"/>
      <c r="G4885" s="1"/>
      <c r="I4885" s="1"/>
      <c r="J4885" s="1"/>
      <c r="L4885" s="1"/>
      <c r="M4885" s="1"/>
      <c r="O4885" s="2"/>
      <c r="P4885" s="2"/>
    </row>
    <row r="4886" spans="1:16" x14ac:dyDescent="0.25">
      <c r="A4886" s="2"/>
      <c r="B4886" s="2"/>
      <c r="F4886" s="1"/>
      <c r="G4886" s="1"/>
      <c r="I4886" s="1"/>
      <c r="J4886" s="1"/>
      <c r="L4886" s="1"/>
      <c r="M4886" s="1"/>
      <c r="O4886" s="2"/>
      <c r="P4886" s="2"/>
    </row>
    <row r="4887" spans="1:16" x14ac:dyDescent="0.25">
      <c r="A4887" s="2"/>
      <c r="B4887" s="2"/>
      <c r="F4887" s="1"/>
      <c r="G4887" s="1"/>
      <c r="I4887" s="1"/>
      <c r="J4887" s="1"/>
      <c r="L4887" s="1"/>
      <c r="M4887" s="1"/>
      <c r="O4887" s="2"/>
      <c r="P4887" s="2"/>
    </row>
    <row r="4888" spans="1:16" x14ac:dyDescent="0.25">
      <c r="A4888" s="2"/>
      <c r="B4888" s="2"/>
      <c r="F4888" s="1"/>
      <c r="G4888" s="1"/>
      <c r="I4888" s="1"/>
      <c r="J4888" s="1"/>
      <c r="L4888" s="1"/>
      <c r="M4888" s="1"/>
      <c r="O4888" s="2"/>
      <c r="P4888" s="2"/>
    </row>
    <row r="4889" spans="1:16" x14ac:dyDescent="0.25">
      <c r="A4889" s="2"/>
      <c r="B4889" s="2"/>
      <c r="F4889" s="1"/>
      <c r="G4889" s="1"/>
      <c r="I4889" s="1"/>
      <c r="J4889" s="1"/>
      <c r="L4889" s="1"/>
      <c r="M4889" s="1"/>
      <c r="O4889" s="2"/>
      <c r="P4889" s="2"/>
    </row>
    <row r="4890" spans="1:16" x14ac:dyDescent="0.25">
      <c r="A4890" s="2"/>
      <c r="B4890" s="2"/>
      <c r="F4890" s="1"/>
      <c r="G4890" s="1"/>
      <c r="I4890" s="1"/>
      <c r="J4890" s="1"/>
      <c r="L4890" s="1"/>
      <c r="M4890" s="1"/>
      <c r="O4890" s="2"/>
      <c r="P4890" s="2"/>
    </row>
    <row r="4891" spans="1:16" x14ac:dyDescent="0.25">
      <c r="A4891" s="2"/>
      <c r="B4891" s="2"/>
      <c r="F4891" s="1"/>
      <c r="G4891" s="1"/>
      <c r="I4891" s="1"/>
      <c r="J4891" s="1"/>
      <c r="L4891" s="1"/>
      <c r="M4891" s="1"/>
      <c r="O4891" s="2"/>
      <c r="P4891" s="2"/>
    </row>
    <row r="4892" spans="1:16" x14ac:dyDescent="0.25">
      <c r="A4892" s="2"/>
      <c r="B4892" s="2"/>
      <c r="F4892" s="1"/>
      <c r="G4892" s="1"/>
      <c r="I4892" s="1"/>
      <c r="J4892" s="1"/>
      <c r="L4892" s="1"/>
      <c r="M4892" s="1"/>
      <c r="O4892" s="2"/>
      <c r="P4892" s="2"/>
    </row>
    <row r="4893" spans="1:16" x14ac:dyDescent="0.25">
      <c r="A4893" s="2"/>
      <c r="B4893" s="2"/>
      <c r="F4893" s="1"/>
      <c r="G4893" s="1"/>
      <c r="I4893" s="1"/>
      <c r="J4893" s="1"/>
      <c r="L4893" s="1"/>
      <c r="M4893" s="1"/>
      <c r="O4893" s="2"/>
      <c r="P4893" s="2"/>
    </row>
    <row r="4894" spans="1:16" x14ac:dyDescent="0.25">
      <c r="A4894" s="2"/>
      <c r="B4894" s="2"/>
      <c r="F4894" s="1"/>
      <c r="G4894" s="1"/>
      <c r="I4894" s="1"/>
      <c r="J4894" s="1"/>
      <c r="L4894" s="1"/>
      <c r="M4894" s="1"/>
      <c r="O4894" s="2"/>
      <c r="P4894" s="2"/>
    </row>
    <row r="4895" spans="1:16" x14ac:dyDescent="0.25">
      <c r="A4895" s="2"/>
      <c r="B4895" s="2"/>
      <c r="F4895" s="1"/>
      <c r="G4895" s="1"/>
      <c r="I4895" s="1"/>
      <c r="J4895" s="1"/>
      <c r="L4895" s="1"/>
      <c r="M4895" s="1"/>
      <c r="O4895" s="2"/>
      <c r="P4895" s="2"/>
    </row>
    <row r="4896" spans="1:16" x14ac:dyDescent="0.25">
      <c r="A4896" s="2"/>
      <c r="B4896" s="2"/>
      <c r="F4896" s="1"/>
      <c r="G4896" s="1"/>
      <c r="I4896" s="1"/>
      <c r="J4896" s="1"/>
      <c r="L4896" s="1"/>
      <c r="M4896" s="1"/>
      <c r="O4896" s="2"/>
      <c r="P4896" s="2"/>
    </row>
    <row r="4897" spans="1:16" x14ac:dyDescent="0.25">
      <c r="A4897" s="2"/>
      <c r="B4897" s="2"/>
      <c r="F4897" s="1"/>
      <c r="G4897" s="1"/>
      <c r="I4897" s="1"/>
      <c r="J4897" s="1"/>
      <c r="L4897" s="1"/>
      <c r="M4897" s="1"/>
      <c r="O4897" s="2"/>
      <c r="P4897" s="2"/>
    </row>
    <row r="4898" spans="1:16" x14ac:dyDescent="0.25">
      <c r="A4898" s="2"/>
      <c r="B4898" s="2"/>
      <c r="F4898" s="1"/>
      <c r="G4898" s="1"/>
      <c r="I4898" s="1"/>
      <c r="J4898" s="1"/>
      <c r="L4898" s="1"/>
      <c r="M4898" s="1"/>
      <c r="O4898" s="2"/>
      <c r="P4898" s="2"/>
    </row>
    <row r="4899" spans="1:16" x14ac:dyDescent="0.25">
      <c r="A4899" s="2"/>
      <c r="B4899" s="2"/>
      <c r="F4899" s="1"/>
      <c r="G4899" s="1"/>
      <c r="I4899" s="1"/>
      <c r="J4899" s="1"/>
      <c r="L4899" s="1"/>
      <c r="M4899" s="1"/>
      <c r="O4899" s="2"/>
      <c r="P4899" s="2"/>
    </row>
    <row r="4900" spans="1:16" x14ac:dyDescent="0.25">
      <c r="A4900" s="2"/>
      <c r="B4900" s="2"/>
      <c r="F4900" s="1"/>
      <c r="G4900" s="1"/>
      <c r="I4900" s="1"/>
      <c r="J4900" s="1"/>
      <c r="L4900" s="1"/>
      <c r="M4900" s="1"/>
      <c r="O4900" s="2"/>
      <c r="P4900" s="2"/>
    </row>
    <row r="4901" spans="1:16" x14ac:dyDescent="0.25">
      <c r="A4901" s="2"/>
      <c r="B4901" s="2"/>
      <c r="F4901" s="1"/>
      <c r="G4901" s="1"/>
      <c r="I4901" s="1"/>
      <c r="J4901" s="1"/>
      <c r="L4901" s="1"/>
      <c r="M4901" s="1"/>
      <c r="O4901" s="2"/>
      <c r="P4901" s="2"/>
    </row>
    <row r="4902" spans="1:16" x14ac:dyDescent="0.25">
      <c r="A4902" s="2"/>
      <c r="B4902" s="2"/>
      <c r="F4902" s="1"/>
      <c r="G4902" s="1"/>
      <c r="I4902" s="1"/>
      <c r="J4902" s="1"/>
      <c r="L4902" s="1"/>
      <c r="M4902" s="1"/>
      <c r="O4902" s="2"/>
      <c r="P4902" s="2"/>
    </row>
    <row r="4903" spans="1:16" x14ac:dyDescent="0.25">
      <c r="A4903" s="2"/>
      <c r="B4903" s="2"/>
      <c r="F4903" s="1"/>
      <c r="G4903" s="1"/>
      <c r="I4903" s="1"/>
      <c r="J4903" s="1"/>
      <c r="L4903" s="1"/>
      <c r="M4903" s="1"/>
      <c r="O4903" s="2"/>
      <c r="P4903" s="2"/>
    </row>
    <row r="4904" spans="1:16" x14ac:dyDescent="0.25">
      <c r="A4904" s="2"/>
      <c r="B4904" s="2"/>
      <c r="F4904" s="1"/>
      <c r="G4904" s="1"/>
      <c r="I4904" s="1"/>
      <c r="J4904" s="1"/>
      <c r="L4904" s="1"/>
      <c r="M4904" s="1"/>
      <c r="O4904" s="2"/>
      <c r="P4904" s="2"/>
    </row>
    <row r="4905" spans="1:16" x14ac:dyDescent="0.25">
      <c r="A4905" s="2"/>
      <c r="B4905" s="2"/>
      <c r="F4905" s="1"/>
      <c r="G4905" s="1"/>
      <c r="I4905" s="1"/>
      <c r="J4905" s="1"/>
      <c r="L4905" s="1"/>
      <c r="M4905" s="1"/>
      <c r="O4905" s="2"/>
      <c r="P4905" s="2"/>
    </row>
    <row r="4906" spans="1:16" x14ac:dyDescent="0.25">
      <c r="A4906" s="2"/>
      <c r="B4906" s="2"/>
      <c r="F4906" s="1"/>
      <c r="G4906" s="1"/>
      <c r="I4906" s="1"/>
      <c r="J4906" s="1"/>
      <c r="L4906" s="1"/>
      <c r="M4906" s="1"/>
      <c r="O4906" s="2"/>
      <c r="P4906" s="2"/>
    </row>
    <row r="4907" spans="1:16" x14ac:dyDescent="0.25">
      <c r="A4907" s="2"/>
      <c r="B4907" s="2"/>
      <c r="F4907" s="1"/>
      <c r="G4907" s="1"/>
      <c r="I4907" s="1"/>
      <c r="J4907" s="1"/>
      <c r="L4907" s="1"/>
      <c r="M4907" s="1"/>
      <c r="O4907" s="2"/>
      <c r="P4907" s="2"/>
    </row>
    <row r="4908" spans="1:16" x14ac:dyDescent="0.25">
      <c r="A4908" s="2"/>
      <c r="B4908" s="2"/>
      <c r="F4908" s="1"/>
      <c r="G4908" s="1"/>
      <c r="I4908" s="1"/>
      <c r="J4908" s="1"/>
      <c r="L4908" s="1"/>
      <c r="M4908" s="1"/>
      <c r="O4908" s="2"/>
      <c r="P4908" s="2"/>
    </row>
    <row r="4909" spans="1:16" x14ac:dyDescent="0.25">
      <c r="A4909" s="2"/>
      <c r="B4909" s="2"/>
      <c r="F4909" s="1"/>
      <c r="G4909" s="1"/>
      <c r="I4909" s="1"/>
      <c r="J4909" s="1"/>
      <c r="L4909" s="1"/>
      <c r="M4909" s="1"/>
      <c r="O4909" s="2"/>
      <c r="P4909" s="2"/>
    </row>
    <row r="4910" spans="1:16" x14ac:dyDescent="0.25">
      <c r="A4910" s="2"/>
      <c r="B4910" s="2"/>
      <c r="F4910" s="1"/>
      <c r="G4910" s="1"/>
      <c r="I4910" s="1"/>
      <c r="J4910" s="1"/>
      <c r="L4910" s="1"/>
      <c r="M4910" s="1"/>
      <c r="O4910" s="2"/>
      <c r="P4910" s="2"/>
    </row>
    <row r="4911" spans="1:16" x14ac:dyDescent="0.25">
      <c r="A4911" s="2"/>
      <c r="B4911" s="2"/>
      <c r="F4911" s="1"/>
      <c r="G4911" s="1"/>
      <c r="I4911" s="1"/>
      <c r="J4911" s="1"/>
      <c r="L4911" s="1"/>
      <c r="M4911" s="1"/>
      <c r="O4911" s="2"/>
      <c r="P4911" s="2"/>
    </row>
    <row r="4912" spans="1:16" x14ac:dyDescent="0.25">
      <c r="A4912" s="2"/>
      <c r="B4912" s="2"/>
      <c r="F4912" s="1"/>
      <c r="G4912" s="1"/>
      <c r="I4912" s="1"/>
      <c r="J4912" s="1"/>
      <c r="L4912" s="1"/>
      <c r="M4912" s="1"/>
      <c r="O4912" s="2"/>
      <c r="P4912" s="2"/>
    </row>
    <row r="4913" spans="1:16" x14ac:dyDescent="0.25">
      <c r="A4913" s="2"/>
      <c r="B4913" s="2"/>
      <c r="F4913" s="1"/>
      <c r="G4913" s="1"/>
      <c r="I4913" s="1"/>
      <c r="J4913" s="1"/>
      <c r="L4913" s="1"/>
      <c r="M4913" s="1"/>
      <c r="O4913" s="2"/>
      <c r="P4913" s="2"/>
    </row>
    <row r="4914" spans="1:16" x14ac:dyDescent="0.25">
      <c r="A4914" s="2"/>
      <c r="B4914" s="2"/>
      <c r="F4914" s="1"/>
      <c r="G4914" s="1"/>
      <c r="I4914" s="1"/>
      <c r="J4914" s="1"/>
      <c r="L4914" s="1"/>
      <c r="M4914" s="1"/>
      <c r="O4914" s="2"/>
      <c r="P4914" s="2"/>
    </row>
    <row r="4915" spans="1:16" x14ac:dyDescent="0.25">
      <c r="A4915" s="2"/>
      <c r="B4915" s="2"/>
      <c r="F4915" s="1"/>
      <c r="G4915" s="1"/>
      <c r="I4915" s="1"/>
      <c r="J4915" s="1"/>
      <c r="L4915" s="1"/>
      <c r="M4915" s="1"/>
      <c r="O4915" s="2"/>
      <c r="P4915" s="2"/>
    </row>
    <row r="4916" spans="1:16" x14ac:dyDescent="0.25">
      <c r="A4916" s="2"/>
      <c r="B4916" s="2"/>
      <c r="F4916" s="1"/>
      <c r="G4916" s="1"/>
      <c r="I4916" s="1"/>
      <c r="J4916" s="1"/>
      <c r="L4916" s="1"/>
      <c r="M4916" s="1"/>
      <c r="O4916" s="2"/>
      <c r="P4916" s="2"/>
    </row>
    <row r="4917" spans="1:16" x14ac:dyDescent="0.25">
      <c r="A4917" s="2"/>
      <c r="B4917" s="2"/>
      <c r="F4917" s="1"/>
      <c r="G4917" s="1"/>
      <c r="I4917" s="1"/>
      <c r="J4917" s="1"/>
      <c r="L4917" s="1"/>
      <c r="M4917" s="1"/>
      <c r="O4917" s="2"/>
      <c r="P4917" s="2"/>
    </row>
    <row r="4918" spans="1:16" x14ac:dyDescent="0.25">
      <c r="A4918" s="2"/>
      <c r="B4918" s="2"/>
      <c r="F4918" s="1"/>
      <c r="G4918" s="1"/>
      <c r="I4918" s="1"/>
      <c r="J4918" s="1"/>
      <c r="L4918" s="1"/>
      <c r="M4918" s="1"/>
      <c r="O4918" s="2"/>
      <c r="P4918" s="2"/>
    </row>
    <row r="4919" spans="1:16" x14ac:dyDescent="0.25">
      <c r="A4919" s="2"/>
      <c r="B4919" s="2"/>
      <c r="F4919" s="1"/>
      <c r="G4919" s="1"/>
      <c r="I4919" s="1"/>
      <c r="J4919" s="1"/>
      <c r="L4919" s="1"/>
      <c r="M4919" s="1"/>
      <c r="O4919" s="2"/>
      <c r="P4919" s="2"/>
    </row>
    <row r="4920" spans="1:16" x14ac:dyDescent="0.25">
      <c r="A4920" s="2"/>
      <c r="B4920" s="2"/>
      <c r="F4920" s="1"/>
      <c r="G4920" s="1"/>
      <c r="I4920" s="1"/>
      <c r="J4920" s="1"/>
      <c r="L4920" s="1"/>
      <c r="M4920" s="1"/>
      <c r="O4920" s="2"/>
      <c r="P4920" s="2"/>
    </row>
    <row r="4921" spans="1:16" x14ac:dyDescent="0.25">
      <c r="A4921" s="2"/>
      <c r="B4921" s="2"/>
      <c r="F4921" s="1"/>
      <c r="G4921" s="1"/>
      <c r="I4921" s="1"/>
      <c r="J4921" s="1"/>
      <c r="L4921" s="1"/>
      <c r="M4921" s="1"/>
      <c r="O4921" s="2"/>
      <c r="P4921" s="2"/>
    </row>
    <row r="4922" spans="1:16" x14ac:dyDescent="0.25">
      <c r="A4922" s="2"/>
      <c r="B4922" s="2"/>
      <c r="F4922" s="1"/>
      <c r="G4922" s="1"/>
      <c r="I4922" s="1"/>
      <c r="J4922" s="1"/>
      <c r="L4922" s="1"/>
      <c r="M4922" s="1"/>
      <c r="O4922" s="2"/>
      <c r="P4922" s="2"/>
    </row>
    <row r="4923" spans="1:16" x14ac:dyDescent="0.25">
      <c r="A4923" s="2"/>
      <c r="B4923" s="2"/>
      <c r="F4923" s="1"/>
      <c r="G4923" s="1"/>
      <c r="I4923" s="1"/>
      <c r="J4923" s="1"/>
      <c r="L4923" s="1"/>
      <c r="M4923" s="1"/>
      <c r="O4923" s="2"/>
      <c r="P4923" s="2"/>
    </row>
    <row r="4924" spans="1:16" x14ac:dyDescent="0.25">
      <c r="A4924" s="2"/>
      <c r="B4924" s="2"/>
      <c r="F4924" s="1"/>
      <c r="G4924" s="1"/>
      <c r="I4924" s="1"/>
      <c r="J4924" s="1"/>
      <c r="L4924" s="1"/>
      <c r="M4924" s="1"/>
      <c r="O4924" s="2"/>
      <c r="P4924" s="2"/>
    </row>
    <row r="4925" spans="1:16" x14ac:dyDescent="0.25">
      <c r="A4925" s="2"/>
      <c r="B4925" s="2"/>
      <c r="F4925" s="1"/>
      <c r="G4925" s="1"/>
      <c r="I4925" s="1"/>
      <c r="J4925" s="1"/>
      <c r="L4925" s="1"/>
      <c r="M4925" s="1"/>
      <c r="O4925" s="2"/>
      <c r="P4925" s="2"/>
    </row>
    <row r="4926" spans="1:16" x14ac:dyDescent="0.25">
      <c r="A4926" s="2"/>
      <c r="B4926" s="2"/>
      <c r="F4926" s="1"/>
      <c r="G4926" s="1"/>
      <c r="I4926" s="1"/>
      <c r="J4926" s="1"/>
      <c r="L4926" s="1"/>
      <c r="M4926" s="1"/>
      <c r="O4926" s="2"/>
      <c r="P4926" s="2"/>
    </row>
    <row r="4927" spans="1:16" x14ac:dyDescent="0.25">
      <c r="A4927" s="2"/>
      <c r="B4927" s="2"/>
      <c r="F4927" s="1"/>
      <c r="G4927" s="1"/>
      <c r="I4927" s="1"/>
      <c r="J4927" s="1"/>
      <c r="L4927" s="1"/>
      <c r="M4927" s="1"/>
      <c r="O4927" s="2"/>
      <c r="P4927" s="2"/>
    </row>
    <row r="4928" spans="1:16" x14ac:dyDescent="0.25">
      <c r="A4928" s="2"/>
      <c r="B4928" s="2"/>
      <c r="F4928" s="1"/>
      <c r="G4928" s="1"/>
      <c r="I4928" s="1"/>
      <c r="J4928" s="1"/>
      <c r="L4928" s="1"/>
      <c r="M4928" s="1"/>
      <c r="O4928" s="2"/>
      <c r="P4928" s="2"/>
    </row>
    <row r="4929" spans="1:16" x14ac:dyDescent="0.25">
      <c r="A4929" s="2"/>
      <c r="B4929" s="2"/>
      <c r="F4929" s="1"/>
      <c r="G4929" s="1"/>
      <c r="I4929" s="1"/>
      <c r="J4929" s="1"/>
      <c r="L4929" s="1"/>
      <c r="M4929" s="1"/>
      <c r="O4929" s="2"/>
      <c r="P4929" s="2"/>
    </row>
    <row r="4930" spans="1:16" x14ac:dyDescent="0.25">
      <c r="A4930" s="2"/>
      <c r="B4930" s="2"/>
      <c r="F4930" s="1"/>
      <c r="G4930" s="1"/>
      <c r="I4930" s="1"/>
      <c r="J4930" s="1"/>
      <c r="L4930" s="1"/>
      <c r="M4930" s="1"/>
      <c r="O4930" s="2"/>
      <c r="P4930" s="2"/>
    </row>
    <row r="4931" spans="1:16" x14ac:dyDescent="0.25">
      <c r="A4931" s="2"/>
      <c r="B4931" s="2"/>
      <c r="F4931" s="1"/>
      <c r="G4931" s="1"/>
      <c r="I4931" s="1"/>
      <c r="J4931" s="1"/>
      <c r="L4931" s="1"/>
      <c r="M4931" s="1"/>
      <c r="O4931" s="2"/>
      <c r="P4931" s="2"/>
    </row>
    <row r="4932" spans="1:16" x14ac:dyDescent="0.25">
      <c r="A4932" s="2"/>
      <c r="B4932" s="2"/>
      <c r="F4932" s="1"/>
      <c r="G4932" s="1"/>
      <c r="I4932" s="1"/>
      <c r="J4932" s="1"/>
      <c r="L4932" s="1"/>
      <c r="M4932" s="1"/>
      <c r="O4932" s="2"/>
      <c r="P4932" s="2"/>
    </row>
    <row r="4933" spans="1:16" x14ac:dyDescent="0.25">
      <c r="A4933" s="2"/>
      <c r="B4933" s="2"/>
      <c r="F4933" s="1"/>
      <c r="G4933" s="1"/>
      <c r="I4933" s="1"/>
      <c r="J4933" s="1"/>
      <c r="L4933" s="1"/>
      <c r="M4933" s="1"/>
      <c r="O4933" s="2"/>
      <c r="P4933" s="2"/>
    </row>
    <row r="4934" spans="1:16" x14ac:dyDescent="0.25">
      <c r="A4934" s="2"/>
      <c r="B4934" s="2"/>
      <c r="F4934" s="1"/>
      <c r="G4934" s="1"/>
      <c r="I4934" s="1"/>
      <c r="J4934" s="1"/>
      <c r="L4934" s="1"/>
      <c r="M4934" s="1"/>
      <c r="O4934" s="2"/>
      <c r="P4934" s="2"/>
    </row>
    <row r="4935" spans="1:16" x14ac:dyDescent="0.25">
      <c r="A4935" s="2"/>
      <c r="B4935" s="2"/>
      <c r="F4935" s="1"/>
      <c r="G4935" s="1"/>
      <c r="I4935" s="1"/>
      <c r="J4935" s="1"/>
      <c r="L4935" s="1"/>
      <c r="M4935" s="1"/>
      <c r="O4935" s="2"/>
      <c r="P4935" s="2"/>
    </row>
    <row r="4936" spans="1:16" x14ac:dyDescent="0.25">
      <c r="A4936" s="2"/>
      <c r="B4936" s="2"/>
      <c r="F4936" s="1"/>
      <c r="G4936" s="1"/>
      <c r="I4936" s="1"/>
      <c r="J4936" s="1"/>
      <c r="L4936" s="1"/>
      <c r="M4936" s="1"/>
      <c r="O4936" s="2"/>
      <c r="P4936" s="2"/>
    </row>
    <row r="4937" spans="1:16" x14ac:dyDescent="0.25">
      <c r="A4937" s="2"/>
      <c r="B4937" s="2"/>
      <c r="F4937" s="1"/>
      <c r="G4937" s="1"/>
      <c r="I4937" s="1"/>
      <c r="J4937" s="1"/>
      <c r="L4937" s="1"/>
      <c r="M4937" s="1"/>
      <c r="O4937" s="2"/>
      <c r="P4937" s="2"/>
    </row>
    <row r="4938" spans="1:16" x14ac:dyDescent="0.25">
      <c r="A4938" s="2"/>
      <c r="B4938" s="2"/>
      <c r="F4938" s="1"/>
      <c r="G4938" s="1"/>
      <c r="I4938" s="1"/>
      <c r="J4938" s="1"/>
      <c r="L4938" s="1"/>
      <c r="M4938" s="1"/>
      <c r="O4938" s="2"/>
      <c r="P4938" s="2"/>
    </row>
    <row r="4939" spans="1:16" x14ac:dyDescent="0.25">
      <c r="A4939" s="2"/>
      <c r="B4939" s="2"/>
      <c r="F4939" s="1"/>
      <c r="G4939" s="1"/>
      <c r="I4939" s="1"/>
      <c r="J4939" s="1"/>
      <c r="L4939" s="1"/>
      <c r="M4939" s="1"/>
      <c r="O4939" s="2"/>
      <c r="P4939" s="2"/>
    </row>
    <row r="4940" spans="1:16" x14ac:dyDescent="0.25">
      <c r="A4940" s="2"/>
      <c r="B4940" s="2"/>
      <c r="F4940" s="1"/>
      <c r="G4940" s="1"/>
      <c r="I4940" s="1"/>
      <c r="J4940" s="1"/>
      <c r="L4940" s="1"/>
      <c r="M4940" s="1"/>
      <c r="O4940" s="2"/>
      <c r="P4940" s="2"/>
    </row>
    <row r="4941" spans="1:16" x14ac:dyDescent="0.25">
      <c r="A4941" s="2"/>
      <c r="B4941" s="2"/>
      <c r="F4941" s="1"/>
      <c r="G4941" s="1"/>
      <c r="I4941" s="1"/>
      <c r="J4941" s="1"/>
      <c r="L4941" s="1"/>
      <c r="M4941" s="1"/>
      <c r="O4941" s="2"/>
      <c r="P4941" s="2"/>
    </row>
    <row r="4942" spans="1:16" x14ac:dyDescent="0.25">
      <c r="A4942" s="2"/>
      <c r="B4942" s="2"/>
      <c r="F4942" s="1"/>
      <c r="G4942" s="1"/>
      <c r="I4942" s="1"/>
      <c r="J4942" s="1"/>
      <c r="L4942" s="1"/>
      <c r="M4942" s="1"/>
      <c r="O4942" s="2"/>
      <c r="P4942" s="2"/>
    </row>
    <row r="4943" spans="1:16" x14ac:dyDescent="0.25">
      <c r="A4943" s="2"/>
      <c r="B4943" s="2"/>
      <c r="F4943" s="1"/>
      <c r="G4943" s="1"/>
      <c r="I4943" s="1"/>
      <c r="J4943" s="1"/>
      <c r="L4943" s="1"/>
      <c r="M4943" s="1"/>
      <c r="O4943" s="2"/>
      <c r="P4943" s="2"/>
    </row>
    <row r="4944" spans="1:16" x14ac:dyDescent="0.25">
      <c r="A4944" s="2"/>
      <c r="B4944" s="2"/>
      <c r="F4944" s="1"/>
      <c r="G4944" s="1"/>
      <c r="I4944" s="1"/>
      <c r="J4944" s="1"/>
      <c r="L4944" s="1"/>
      <c r="M4944" s="1"/>
      <c r="O4944" s="2"/>
      <c r="P4944" s="2"/>
    </row>
    <row r="4945" spans="1:16" x14ac:dyDescent="0.25">
      <c r="A4945" s="2"/>
      <c r="B4945" s="2"/>
      <c r="F4945" s="1"/>
      <c r="G4945" s="1"/>
      <c r="I4945" s="1"/>
      <c r="J4945" s="1"/>
      <c r="L4945" s="1"/>
      <c r="M4945" s="1"/>
      <c r="O4945" s="2"/>
      <c r="P4945" s="2"/>
    </row>
    <row r="4946" spans="1:16" x14ac:dyDescent="0.25">
      <c r="A4946" s="2"/>
      <c r="B4946" s="2"/>
      <c r="F4946" s="1"/>
      <c r="G4946" s="1"/>
      <c r="I4946" s="1"/>
      <c r="J4946" s="1"/>
      <c r="L4946" s="1"/>
      <c r="M4946" s="1"/>
      <c r="O4946" s="2"/>
      <c r="P4946" s="2"/>
    </row>
    <row r="4947" spans="1:16" x14ac:dyDescent="0.25">
      <c r="A4947" s="2"/>
      <c r="B4947" s="2"/>
      <c r="F4947" s="1"/>
      <c r="G4947" s="1"/>
      <c r="I4947" s="1"/>
      <c r="J4947" s="1"/>
      <c r="L4947" s="1"/>
      <c r="M4947" s="1"/>
      <c r="O4947" s="2"/>
      <c r="P4947" s="2"/>
    </row>
    <row r="4948" spans="1:16" x14ac:dyDescent="0.25">
      <c r="A4948" s="2"/>
      <c r="B4948" s="2"/>
      <c r="F4948" s="1"/>
      <c r="G4948" s="1"/>
      <c r="I4948" s="1"/>
      <c r="J4948" s="1"/>
      <c r="L4948" s="1"/>
      <c r="M4948" s="1"/>
      <c r="O4948" s="2"/>
      <c r="P4948" s="2"/>
    </row>
    <row r="4949" spans="1:16" x14ac:dyDescent="0.25">
      <c r="A4949" s="2"/>
      <c r="B4949" s="2"/>
      <c r="F4949" s="1"/>
      <c r="G4949" s="1"/>
      <c r="I4949" s="1"/>
      <c r="J4949" s="1"/>
      <c r="L4949" s="1"/>
      <c r="M4949" s="1"/>
      <c r="O4949" s="2"/>
      <c r="P4949" s="2"/>
    </row>
    <row r="4950" spans="1:16" x14ac:dyDescent="0.25">
      <c r="A4950" s="2"/>
      <c r="B4950" s="2"/>
      <c r="F4950" s="1"/>
      <c r="G4950" s="1"/>
      <c r="I4950" s="1"/>
      <c r="J4950" s="1"/>
      <c r="L4950" s="1"/>
      <c r="M4950" s="1"/>
      <c r="O4950" s="2"/>
      <c r="P4950" s="2"/>
    </row>
    <row r="4951" spans="1:16" x14ac:dyDescent="0.25">
      <c r="A4951" s="2"/>
      <c r="B4951" s="2"/>
      <c r="F4951" s="1"/>
      <c r="G4951" s="1"/>
      <c r="I4951" s="1"/>
      <c r="J4951" s="1"/>
      <c r="L4951" s="1"/>
      <c r="M4951" s="1"/>
      <c r="O4951" s="2"/>
      <c r="P4951" s="2"/>
    </row>
    <row r="4952" spans="1:16" x14ac:dyDescent="0.25">
      <c r="A4952" s="2"/>
      <c r="B4952" s="2"/>
      <c r="F4952" s="1"/>
      <c r="G4952" s="1"/>
      <c r="I4952" s="1"/>
      <c r="J4952" s="1"/>
      <c r="L4952" s="1"/>
      <c r="M4952" s="1"/>
      <c r="O4952" s="2"/>
      <c r="P4952" s="2"/>
    </row>
    <row r="4953" spans="1:16" x14ac:dyDescent="0.25">
      <c r="A4953" s="2"/>
      <c r="B4953" s="2"/>
      <c r="F4953" s="1"/>
      <c r="G4953" s="1"/>
      <c r="I4953" s="1"/>
      <c r="J4953" s="1"/>
      <c r="L4953" s="1"/>
      <c r="M4953" s="1"/>
      <c r="O4953" s="2"/>
      <c r="P4953" s="2"/>
    </row>
    <row r="4954" spans="1:16" x14ac:dyDescent="0.25">
      <c r="A4954" s="2"/>
      <c r="B4954" s="2"/>
      <c r="F4954" s="1"/>
      <c r="G4954" s="1"/>
      <c r="I4954" s="1"/>
      <c r="J4954" s="1"/>
      <c r="L4954" s="1"/>
      <c r="M4954" s="1"/>
      <c r="O4954" s="2"/>
      <c r="P4954" s="2"/>
    </row>
    <row r="4955" spans="1:16" x14ac:dyDescent="0.25">
      <c r="A4955" s="2"/>
      <c r="B4955" s="2"/>
      <c r="F4955" s="1"/>
      <c r="G4955" s="1"/>
      <c r="I4955" s="1"/>
      <c r="J4955" s="1"/>
      <c r="L4955" s="1"/>
      <c r="M4955" s="1"/>
      <c r="O4955" s="2"/>
      <c r="P4955" s="2"/>
    </row>
    <row r="4956" spans="1:16" x14ac:dyDescent="0.25">
      <c r="A4956" s="2"/>
      <c r="B4956" s="2"/>
      <c r="F4956" s="1"/>
      <c r="G4956" s="1"/>
      <c r="I4956" s="1"/>
      <c r="J4956" s="1"/>
      <c r="L4956" s="1"/>
      <c r="M4956" s="1"/>
      <c r="O4956" s="2"/>
      <c r="P4956" s="2"/>
    </row>
    <row r="4957" spans="1:16" x14ac:dyDescent="0.25">
      <c r="A4957" s="2"/>
      <c r="B4957" s="2"/>
      <c r="F4957" s="1"/>
      <c r="G4957" s="1"/>
      <c r="I4957" s="1"/>
      <c r="J4957" s="1"/>
      <c r="L4957" s="1"/>
      <c r="M4957" s="1"/>
      <c r="O4957" s="2"/>
      <c r="P4957" s="2"/>
    </row>
    <row r="4958" spans="1:16" x14ac:dyDescent="0.25">
      <c r="A4958" s="2"/>
      <c r="B4958" s="2"/>
      <c r="F4958" s="1"/>
      <c r="G4958" s="1"/>
      <c r="I4958" s="1"/>
      <c r="J4958" s="1"/>
      <c r="L4958" s="1"/>
      <c r="M4958" s="1"/>
      <c r="O4958" s="2"/>
      <c r="P4958" s="2"/>
    </row>
    <row r="4959" spans="1:16" x14ac:dyDescent="0.25">
      <c r="A4959" s="2"/>
      <c r="B4959" s="2"/>
      <c r="F4959" s="1"/>
      <c r="G4959" s="1"/>
      <c r="I4959" s="1"/>
      <c r="J4959" s="1"/>
      <c r="L4959" s="1"/>
      <c r="M4959" s="1"/>
      <c r="O4959" s="2"/>
      <c r="P4959" s="2"/>
    </row>
    <row r="4960" spans="1:16" x14ac:dyDescent="0.25">
      <c r="A4960" s="2"/>
      <c r="B4960" s="2"/>
      <c r="F4960" s="1"/>
      <c r="G4960" s="1"/>
      <c r="I4960" s="1"/>
      <c r="J4960" s="1"/>
      <c r="L4960" s="1"/>
      <c r="M4960" s="1"/>
      <c r="O4960" s="2"/>
      <c r="P4960" s="2"/>
    </row>
    <row r="4961" spans="1:16" x14ac:dyDescent="0.25">
      <c r="A4961" s="2"/>
      <c r="B4961" s="2"/>
      <c r="F4961" s="1"/>
      <c r="G4961" s="1"/>
      <c r="I4961" s="1"/>
      <c r="J4961" s="1"/>
      <c r="L4961" s="1"/>
      <c r="M4961" s="1"/>
      <c r="O4961" s="2"/>
      <c r="P4961" s="2"/>
    </row>
    <row r="4962" spans="1:16" x14ac:dyDescent="0.25">
      <c r="A4962" s="2"/>
      <c r="B4962" s="2"/>
      <c r="F4962" s="1"/>
      <c r="G4962" s="1"/>
      <c r="I4962" s="1"/>
      <c r="J4962" s="1"/>
      <c r="L4962" s="1"/>
      <c r="M4962" s="1"/>
      <c r="O4962" s="2"/>
      <c r="P4962" s="2"/>
    </row>
    <row r="4963" spans="1:16" x14ac:dyDescent="0.25">
      <c r="A4963" s="2"/>
      <c r="B4963" s="2"/>
      <c r="F4963" s="1"/>
      <c r="G4963" s="1"/>
      <c r="I4963" s="1"/>
      <c r="J4963" s="1"/>
      <c r="L4963" s="1"/>
      <c r="M4963" s="1"/>
      <c r="O4963" s="2"/>
      <c r="P4963" s="2"/>
    </row>
    <row r="4964" spans="1:16" x14ac:dyDescent="0.25">
      <c r="A4964" s="2"/>
      <c r="B4964" s="2"/>
      <c r="F4964" s="1"/>
      <c r="G4964" s="1"/>
      <c r="I4964" s="1"/>
      <c r="J4964" s="1"/>
      <c r="L4964" s="1"/>
      <c r="M4964" s="1"/>
      <c r="O4964" s="2"/>
      <c r="P4964" s="2"/>
    </row>
    <row r="4965" spans="1:16" x14ac:dyDescent="0.25">
      <c r="A4965" s="2"/>
      <c r="B4965" s="2"/>
      <c r="F4965" s="1"/>
      <c r="G4965" s="1"/>
      <c r="I4965" s="1"/>
      <c r="J4965" s="1"/>
      <c r="L4965" s="1"/>
      <c r="M4965" s="1"/>
      <c r="O4965" s="2"/>
      <c r="P4965" s="2"/>
    </row>
    <row r="4966" spans="1:16" x14ac:dyDescent="0.25">
      <c r="A4966" s="2"/>
      <c r="B4966" s="2"/>
      <c r="F4966" s="1"/>
      <c r="G4966" s="1"/>
      <c r="I4966" s="1"/>
      <c r="J4966" s="1"/>
      <c r="L4966" s="1"/>
      <c r="M4966" s="1"/>
      <c r="O4966" s="2"/>
      <c r="P4966" s="2"/>
    </row>
    <row r="4967" spans="1:16" x14ac:dyDescent="0.25">
      <c r="A4967" s="2"/>
      <c r="B4967" s="2"/>
      <c r="F4967" s="1"/>
      <c r="G4967" s="1"/>
      <c r="I4967" s="1"/>
      <c r="J4967" s="1"/>
      <c r="L4967" s="1"/>
      <c r="M4967" s="1"/>
      <c r="O4967" s="2"/>
      <c r="P4967" s="2"/>
    </row>
    <row r="4968" spans="1:16" x14ac:dyDescent="0.25">
      <c r="A4968" s="2"/>
      <c r="B4968" s="2"/>
      <c r="F4968" s="1"/>
      <c r="G4968" s="1"/>
      <c r="I4968" s="1"/>
      <c r="J4968" s="1"/>
      <c r="L4968" s="1"/>
      <c r="M4968" s="1"/>
      <c r="O4968" s="2"/>
      <c r="P4968" s="2"/>
    </row>
    <row r="4969" spans="1:16" x14ac:dyDescent="0.25">
      <c r="A4969" s="2"/>
      <c r="B4969" s="2"/>
      <c r="F4969" s="1"/>
      <c r="G4969" s="1"/>
      <c r="I4969" s="1"/>
      <c r="J4969" s="1"/>
      <c r="L4969" s="1"/>
      <c r="M4969" s="1"/>
      <c r="O4969" s="2"/>
      <c r="P4969" s="2"/>
    </row>
    <row r="4970" spans="1:16" x14ac:dyDescent="0.25">
      <c r="A4970" s="2"/>
      <c r="B4970" s="2"/>
      <c r="F4970" s="1"/>
      <c r="G4970" s="1"/>
      <c r="I4970" s="1"/>
      <c r="J4970" s="1"/>
      <c r="L4970" s="1"/>
      <c r="M4970" s="1"/>
      <c r="O4970" s="2"/>
      <c r="P4970" s="2"/>
    </row>
    <row r="4971" spans="1:16" x14ac:dyDescent="0.25">
      <c r="A4971" s="2"/>
      <c r="B4971" s="2"/>
      <c r="F4971" s="1"/>
      <c r="G4971" s="1"/>
      <c r="I4971" s="1"/>
      <c r="J4971" s="1"/>
      <c r="L4971" s="1"/>
      <c r="M4971" s="1"/>
      <c r="O4971" s="2"/>
      <c r="P4971" s="2"/>
    </row>
    <row r="4972" spans="1:16" x14ac:dyDescent="0.25">
      <c r="A4972" s="2"/>
      <c r="B4972" s="2"/>
      <c r="F4972" s="1"/>
      <c r="G4972" s="1"/>
      <c r="I4972" s="1"/>
      <c r="J4972" s="1"/>
      <c r="L4972" s="1"/>
      <c r="M4972" s="1"/>
      <c r="O4972" s="2"/>
      <c r="P4972" s="2"/>
    </row>
    <row r="4973" spans="1:16" x14ac:dyDescent="0.25">
      <c r="A4973" s="2"/>
      <c r="B4973" s="2"/>
      <c r="F4973" s="1"/>
      <c r="G4973" s="1"/>
      <c r="I4973" s="1"/>
      <c r="J4973" s="1"/>
      <c r="L4973" s="1"/>
      <c r="M4973" s="1"/>
      <c r="O4973" s="2"/>
      <c r="P4973" s="2"/>
    </row>
    <row r="4974" spans="1:16" x14ac:dyDescent="0.25">
      <c r="A4974" s="2"/>
      <c r="B4974" s="2"/>
      <c r="F4974" s="1"/>
      <c r="G4974" s="1"/>
      <c r="I4974" s="1"/>
      <c r="J4974" s="1"/>
      <c r="L4974" s="1"/>
      <c r="M4974" s="1"/>
      <c r="O4974" s="2"/>
      <c r="P4974" s="2"/>
    </row>
    <row r="4975" spans="1:16" x14ac:dyDescent="0.25">
      <c r="A4975" s="2"/>
      <c r="B4975" s="2"/>
      <c r="F4975" s="1"/>
      <c r="G4975" s="1"/>
      <c r="I4975" s="1"/>
      <c r="J4975" s="1"/>
      <c r="L4975" s="1"/>
      <c r="M4975" s="1"/>
      <c r="O4975" s="2"/>
      <c r="P4975" s="2"/>
    </row>
    <row r="4976" spans="1:16" x14ac:dyDescent="0.25">
      <c r="A4976" s="2"/>
      <c r="B4976" s="2"/>
      <c r="F4976" s="1"/>
      <c r="G4976" s="1"/>
      <c r="I4976" s="1"/>
      <c r="J4976" s="1"/>
      <c r="L4976" s="1"/>
      <c r="M4976" s="1"/>
      <c r="O4976" s="2"/>
      <c r="P4976" s="2"/>
    </row>
    <row r="4977" spans="1:16" x14ac:dyDescent="0.25">
      <c r="A4977" s="2"/>
      <c r="B4977" s="2"/>
      <c r="F4977" s="1"/>
      <c r="G4977" s="1"/>
      <c r="I4977" s="1"/>
      <c r="J4977" s="1"/>
      <c r="L4977" s="1"/>
      <c r="M4977" s="1"/>
      <c r="O4977" s="2"/>
      <c r="P4977" s="2"/>
    </row>
    <row r="4978" spans="1:16" x14ac:dyDescent="0.25">
      <c r="A4978" s="2"/>
      <c r="B4978" s="2"/>
      <c r="F4978" s="1"/>
      <c r="G4978" s="1"/>
      <c r="I4978" s="1"/>
      <c r="J4978" s="1"/>
      <c r="L4978" s="1"/>
      <c r="M4978" s="1"/>
      <c r="O4978" s="2"/>
      <c r="P4978" s="2"/>
    </row>
    <row r="4979" spans="1:16" x14ac:dyDescent="0.25">
      <c r="A4979" s="2"/>
      <c r="B4979" s="2"/>
      <c r="F4979" s="1"/>
      <c r="G4979" s="1"/>
      <c r="I4979" s="1"/>
      <c r="J4979" s="1"/>
      <c r="L4979" s="1"/>
      <c r="M4979" s="1"/>
      <c r="O4979" s="2"/>
      <c r="P4979" s="2"/>
    </row>
    <row r="4980" spans="1:16" x14ac:dyDescent="0.25">
      <c r="A4980" s="2"/>
      <c r="B4980" s="2"/>
      <c r="F4980" s="1"/>
      <c r="G4980" s="1"/>
      <c r="I4980" s="1"/>
      <c r="J4980" s="1"/>
      <c r="L4980" s="1"/>
      <c r="M4980" s="1"/>
      <c r="O4980" s="2"/>
      <c r="P4980" s="2"/>
    </row>
    <row r="4981" spans="1:16" x14ac:dyDescent="0.25">
      <c r="A4981" s="2"/>
      <c r="B4981" s="2"/>
      <c r="F4981" s="1"/>
      <c r="G4981" s="1"/>
      <c r="I4981" s="1"/>
      <c r="J4981" s="1"/>
      <c r="L4981" s="1"/>
      <c r="M4981" s="1"/>
      <c r="O4981" s="2"/>
      <c r="P4981" s="2"/>
    </row>
    <row r="4982" spans="1:16" x14ac:dyDescent="0.25">
      <c r="A4982" s="2"/>
      <c r="B4982" s="2"/>
      <c r="F4982" s="1"/>
      <c r="G4982" s="1"/>
      <c r="I4982" s="1"/>
      <c r="J4982" s="1"/>
      <c r="L4982" s="1"/>
      <c r="M4982" s="1"/>
      <c r="O4982" s="2"/>
      <c r="P4982" s="2"/>
    </row>
    <row r="4983" spans="1:16" x14ac:dyDescent="0.25">
      <c r="A4983" s="2"/>
      <c r="B4983" s="2"/>
      <c r="F4983" s="1"/>
      <c r="G4983" s="1"/>
      <c r="I4983" s="1"/>
      <c r="J4983" s="1"/>
      <c r="L4983" s="1"/>
      <c r="M4983" s="1"/>
      <c r="O4983" s="2"/>
      <c r="P4983" s="2"/>
    </row>
    <row r="4984" spans="1:16" x14ac:dyDescent="0.25">
      <c r="A4984" s="2"/>
      <c r="B4984" s="2"/>
      <c r="F4984" s="1"/>
      <c r="G4984" s="1"/>
      <c r="I4984" s="1"/>
      <c r="J4984" s="1"/>
      <c r="L4984" s="1"/>
      <c r="M4984" s="1"/>
      <c r="O4984" s="2"/>
      <c r="P4984" s="2"/>
    </row>
    <row r="4985" spans="1:16" x14ac:dyDescent="0.25">
      <c r="A4985" s="2"/>
      <c r="B4985" s="2"/>
      <c r="F4985" s="1"/>
      <c r="G4985" s="1"/>
      <c r="I4985" s="1"/>
      <c r="J4985" s="1"/>
      <c r="L4985" s="1"/>
      <c r="M4985" s="1"/>
      <c r="O4985" s="2"/>
      <c r="P4985" s="2"/>
    </row>
    <row r="4986" spans="1:16" x14ac:dyDescent="0.25">
      <c r="A4986" s="2"/>
      <c r="B4986" s="2"/>
      <c r="F4986" s="1"/>
      <c r="G4986" s="1"/>
      <c r="I4986" s="1"/>
      <c r="J4986" s="1"/>
      <c r="L4986" s="1"/>
      <c r="M4986" s="1"/>
      <c r="O4986" s="2"/>
      <c r="P4986" s="2"/>
    </row>
    <row r="4987" spans="1:16" x14ac:dyDescent="0.25">
      <c r="A4987" s="2"/>
      <c r="B4987" s="2"/>
      <c r="F4987" s="1"/>
      <c r="G4987" s="1"/>
      <c r="I4987" s="1"/>
      <c r="J4987" s="1"/>
      <c r="L4987" s="1"/>
      <c r="M4987" s="1"/>
      <c r="O4987" s="2"/>
      <c r="P4987" s="2"/>
    </row>
    <row r="4988" spans="1:16" x14ac:dyDescent="0.25">
      <c r="A4988" s="2"/>
      <c r="B4988" s="2"/>
      <c r="F4988" s="1"/>
      <c r="G4988" s="1"/>
      <c r="I4988" s="1"/>
      <c r="J4988" s="1"/>
      <c r="L4988" s="1"/>
      <c r="M4988" s="1"/>
      <c r="O4988" s="2"/>
      <c r="P4988" s="2"/>
    </row>
    <row r="4989" spans="1:16" x14ac:dyDescent="0.25">
      <c r="A4989" s="2"/>
      <c r="B4989" s="2"/>
      <c r="F4989" s="1"/>
      <c r="G4989" s="1"/>
      <c r="I4989" s="1"/>
      <c r="J4989" s="1"/>
      <c r="L4989" s="1"/>
      <c r="M4989" s="1"/>
      <c r="O4989" s="2"/>
      <c r="P4989" s="2"/>
    </row>
    <row r="4990" spans="1:16" x14ac:dyDescent="0.25">
      <c r="A4990" s="2"/>
      <c r="B4990" s="2"/>
      <c r="F4990" s="1"/>
      <c r="G4990" s="1"/>
      <c r="I4990" s="1"/>
      <c r="J4990" s="1"/>
      <c r="L4990" s="1"/>
      <c r="M4990" s="1"/>
      <c r="O4990" s="2"/>
      <c r="P4990" s="2"/>
    </row>
    <row r="4991" spans="1:16" x14ac:dyDescent="0.25">
      <c r="A4991" s="2"/>
      <c r="B4991" s="2"/>
      <c r="F4991" s="1"/>
      <c r="G4991" s="1"/>
      <c r="I4991" s="1"/>
      <c r="J4991" s="1"/>
      <c r="L4991" s="1"/>
      <c r="M4991" s="1"/>
      <c r="O4991" s="2"/>
      <c r="P4991" s="2"/>
    </row>
    <row r="4992" spans="1:16" x14ac:dyDescent="0.25">
      <c r="A4992" s="2"/>
      <c r="B4992" s="2"/>
      <c r="F4992" s="1"/>
      <c r="G4992" s="1"/>
      <c r="I4992" s="1"/>
      <c r="J4992" s="1"/>
      <c r="L4992" s="1"/>
      <c r="M4992" s="1"/>
      <c r="O4992" s="2"/>
      <c r="P4992" s="2"/>
    </row>
    <row r="4993" spans="1:16" x14ac:dyDescent="0.25">
      <c r="A4993" s="2"/>
      <c r="B4993" s="2"/>
      <c r="F4993" s="1"/>
      <c r="G4993" s="1"/>
      <c r="I4993" s="1"/>
      <c r="J4993" s="1"/>
      <c r="L4993" s="1"/>
      <c r="M4993" s="1"/>
      <c r="O4993" s="2"/>
      <c r="P4993" s="2"/>
    </row>
    <row r="4994" spans="1:16" x14ac:dyDescent="0.25">
      <c r="A4994" s="2"/>
      <c r="B4994" s="2"/>
      <c r="F4994" s="1"/>
      <c r="G4994" s="1"/>
      <c r="I4994" s="1"/>
      <c r="J4994" s="1"/>
      <c r="L4994" s="1"/>
      <c r="M4994" s="1"/>
      <c r="O4994" s="2"/>
      <c r="P4994" s="2"/>
    </row>
    <row r="4995" spans="1:16" x14ac:dyDescent="0.25">
      <c r="A4995" s="2"/>
      <c r="B4995" s="2"/>
      <c r="F4995" s="1"/>
      <c r="G4995" s="1"/>
      <c r="I4995" s="1"/>
      <c r="J4995" s="1"/>
      <c r="L4995" s="1"/>
      <c r="M4995" s="1"/>
      <c r="O4995" s="2"/>
      <c r="P4995" s="2"/>
    </row>
    <row r="4996" spans="1:16" x14ac:dyDescent="0.25">
      <c r="A4996" s="2"/>
      <c r="B4996" s="2"/>
      <c r="F4996" s="1"/>
      <c r="G4996" s="1"/>
      <c r="I4996" s="1"/>
      <c r="J4996" s="1"/>
      <c r="L4996" s="1"/>
      <c r="M4996" s="1"/>
      <c r="O4996" s="2"/>
      <c r="P4996" s="2"/>
    </row>
    <row r="4997" spans="1:16" x14ac:dyDescent="0.25">
      <c r="A4997" s="2"/>
      <c r="B4997" s="2"/>
      <c r="F4997" s="1"/>
      <c r="G4997" s="1"/>
      <c r="I4997" s="1"/>
      <c r="J4997" s="1"/>
      <c r="L4997" s="1"/>
      <c r="M4997" s="1"/>
      <c r="O4997" s="2"/>
      <c r="P4997" s="2"/>
    </row>
    <row r="4998" spans="1:16" x14ac:dyDescent="0.25">
      <c r="A4998" s="2"/>
      <c r="B4998" s="2"/>
      <c r="F4998" s="1"/>
      <c r="G4998" s="1"/>
      <c r="I4998" s="1"/>
      <c r="J4998" s="1"/>
      <c r="L4998" s="1"/>
      <c r="M4998" s="1"/>
      <c r="O4998" s="2"/>
      <c r="P4998" s="2"/>
    </row>
    <row r="4999" spans="1:16" x14ac:dyDescent="0.25">
      <c r="A4999" s="2"/>
      <c r="B4999" s="2"/>
      <c r="F4999" s="1"/>
      <c r="G4999" s="1"/>
      <c r="I4999" s="1"/>
      <c r="J4999" s="1"/>
      <c r="L4999" s="1"/>
      <c r="M4999" s="1"/>
      <c r="O4999" s="2"/>
      <c r="P4999" s="2"/>
    </row>
    <row r="5000" spans="1:16" x14ac:dyDescent="0.25">
      <c r="A5000" s="2"/>
      <c r="B5000" s="2"/>
      <c r="F5000" s="1"/>
      <c r="G5000" s="1"/>
      <c r="I5000" s="1"/>
      <c r="J5000" s="1"/>
      <c r="L5000" s="1"/>
      <c r="M5000" s="1"/>
      <c r="O5000" s="2"/>
      <c r="P5000" s="2"/>
    </row>
    <row r="5001" spans="1:16" x14ac:dyDescent="0.25">
      <c r="A5001" s="2"/>
      <c r="B5001" s="2"/>
      <c r="F5001" s="1"/>
      <c r="G5001" s="1"/>
      <c r="I5001" s="1"/>
      <c r="J5001" s="1"/>
      <c r="L5001" s="1"/>
      <c r="M5001" s="1"/>
      <c r="O5001" s="2"/>
      <c r="P5001" s="2"/>
    </row>
    <row r="5002" spans="1:16" x14ac:dyDescent="0.25">
      <c r="A5002" s="2"/>
      <c r="B5002" s="2"/>
      <c r="F5002" s="1"/>
      <c r="G5002" s="1"/>
      <c r="I5002" s="1"/>
      <c r="J5002" s="1"/>
      <c r="L5002" s="1"/>
      <c r="M5002" s="1"/>
      <c r="O5002" s="2"/>
      <c r="P5002" s="2"/>
    </row>
    <row r="5003" spans="1:16" x14ac:dyDescent="0.25">
      <c r="A5003" s="2"/>
      <c r="B5003" s="2"/>
      <c r="F5003" s="1"/>
      <c r="G5003" s="1"/>
      <c r="I5003" s="1"/>
      <c r="J5003" s="1"/>
      <c r="L5003" s="1"/>
      <c r="M5003" s="1"/>
      <c r="O5003" s="2"/>
      <c r="P5003" s="2"/>
    </row>
    <row r="5004" spans="1:16" x14ac:dyDescent="0.25">
      <c r="A5004" s="2"/>
      <c r="B5004" s="2"/>
      <c r="F5004" s="1"/>
      <c r="G5004" s="1"/>
      <c r="I5004" s="1"/>
      <c r="J5004" s="1"/>
      <c r="L5004" s="1"/>
      <c r="M5004" s="1"/>
      <c r="O5004" s="2"/>
      <c r="P5004" s="2"/>
    </row>
    <row r="5005" spans="1:16" x14ac:dyDescent="0.25">
      <c r="A5005" s="2"/>
      <c r="B5005" s="2"/>
      <c r="F5005" s="1"/>
      <c r="G5005" s="1"/>
      <c r="I5005" s="1"/>
      <c r="J5005" s="1"/>
      <c r="L5005" s="1"/>
      <c r="M5005" s="1"/>
      <c r="O5005" s="2"/>
      <c r="P5005" s="2"/>
    </row>
    <row r="5006" spans="1:16" x14ac:dyDescent="0.25">
      <c r="A5006" s="2"/>
      <c r="B5006" s="2"/>
      <c r="F5006" s="1"/>
      <c r="G5006" s="1"/>
      <c r="I5006" s="1"/>
      <c r="J5006" s="1"/>
      <c r="L5006" s="1"/>
      <c r="M5006" s="1"/>
      <c r="O5006" s="2"/>
      <c r="P5006" s="2"/>
    </row>
    <row r="5007" spans="1:16" x14ac:dyDescent="0.25">
      <c r="A5007" s="2"/>
      <c r="B5007" s="2"/>
      <c r="F5007" s="1"/>
      <c r="G5007" s="1"/>
      <c r="I5007" s="1"/>
      <c r="J5007" s="1"/>
      <c r="L5007" s="1"/>
      <c r="M5007" s="1"/>
      <c r="O5007" s="2"/>
      <c r="P5007" s="2"/>
    </row>
    <row r="5008" spans="1:16" x14ac:dyDescent="0.25">
      <c r="A5008" s="2"/>
      <c r="B5008" s="2"/>
      <c r="F5008" s="1"/>
      <c r="G5008" s="1"/>
      <c r="I5008" s="1"/>
      <c r="J5008" s="1"/>
      <c r="L5008" s="1"/>
      <c r="M5008" s="1"/>
      <c r="O5008" s="2"/>
      <c r="P5008" s="2"/>
    </row>
    <row r="5009" spans="1:16" x14ac:dyDescent="0.25">
      <c r="A5009" s="2"/>
      <c r="B5009" s="2"/>
      <c r="F5009" s="1"/>
      <c r="G5009" s="1"/>
      <c r="I5009" s="1"/>
      <c r="J5009" s="1"/>
      <c r="L5009" s="1"/>
      <c r="M5009" s="1"/>
      <c r="O5009" s="2"/>
      <c r="P5009" s="2"/>
    </row>
    <row r="5010" spans="1:16" x14ac:dyDescent="0.25">
      <c r="A5010" s="2"/>
      <c r="B5010" s="2"/>
      <c r="F5010" s="1"/>
      <c r="G5010" s="1"/>
      <c r="I5010" s="1"/>
      <c r="J5010" s="1"/>
      <c r="L5010" s="1"/>
      <c r="M5010" s="1"/>
      <c r="O5010" s="2"/>
      <c r="P5010" s="2"/>
    </row>
    <row r="5011" spans="1:16" x14ac:dyDescent="0.25">
      <c r="A5011" s="2"/>
      <c r="B5011" s="2"/>
      <c r="F5011" s="1"/>
      <c r="G5011" s="1"/>
      <c r="I5011" s="1"/>
      <c r="J5011" s="1"/>
      <c r="L5011" s="1"/>
      <c r="M5011" s="1"/>
      <c r="O5011" s="2"/>
      <c r="P5011" s="2"/>
    </row>
    <row r="5012" spans="1:16" x14ac:dyDescent="0.25">
      <c r="A5012" s="2"/>
      <c r="B5012" s="2"/>
      <c r="F5012" s="1"/>
      <c r="G5012" s="1"/>
      <c r="I5012" s="1"/>
      <c r="J5012" s="1"/>
      <c r="L5012" s="1"/>
      <c r="M5012" s="1"/>
      <c r="O5012" s="2"/>
      <c r="P5012" s="2"/>
    </row>
    <row r="5013" spans="1:16" x14ac:dyDescent="0.25">
      <c r="A5013" s="2"/>
      <c r="B5013" s="2"/>
      <c r="F5013" s="1"/>
      <c r="G5013" s="1"/>
      <c r="I5013" s="1"/>
      <c r="J5013" s="1"/>
      <c r="L5013" s="1"/>
      <c r="M5013" s="1"/>
      <c r="O5013" s="2"/>
      <c r="P5013" s="2"/>
    </row>
    <row r="5014" spans="1:16" x14ac:dyDescent="0.25">
      <c r="A5014" s="2"/>
      <c r="B5014" s="2"/>
      <c r="F5014" s="1"/>
      <c r="G5014" s="1"/>
      <c r="I5014" s="1"/>
      <c r="J5014" s="1"/>
      <c r="L5014" s="1"/>
      <c r="M5014" s="1"/>
      <c r="O5014" s="2"/>
      <c r="P5014" s="2"/>
    </row>
    <row r="5015" spans="1:16" x14ac:dyDescent="0.25">
      <c r="A5015" s="2"/>
      <c r="B5015" s="2"/>
      <c r="F5015" s="1"/>
      <c r="G5015" s="1"/>
      <c r="I5015" s="1"/>
      <c r="J5015" s="1"/>
      <c r="L5015" s="1"/>
      <c r="M5015" s="1"/>
      <c r="O5015" s="2"/>
      <c r="P5015" s="2"/>
    </row>
    <row r="5016" spans="1:16" x14ac:dyDescent="0.25">
      <c r="A5016" s="2"/>
      <c r="B5016" s="2"/>
      <c r="F5016" s="1"/>
      <c r="G5016" s="1"/>
      <c r="I5016" s="1"/>
      <c r="J5016" s="1"/>
      <c r="L5016" s="1"/>
      <c r="M5016" s="1"/>
      <c r="O5016" s="2"/>
      <c r="P5016" s="2"/>
    </row>
    <row r="5017" spans="1:16" x14ac:dyDescent="0.25">
      <c r="A5017" s="2"/>
      <c r="B5017" s="2"/>
      <c r="F5017" s="1"/>
      <c r="G5017" s="1"/>
      <c r="I5017" s="1"/>
      <c r="J5017" s="1"/>
      <c r="L5017" s="1"/>
      <c r="M5017" s="1"/>
      <c r="O5017" s="2"/>
      <c r="P5017" s="2"/>
    </row>
    <row r="5018" spans="1:16" x14ac:dyDescent="0.25">
      <c r="A5018" s="2"/>
      <c r="B5018" s="2"/>
      <c r="F5018" s="1"/>
      <c r="G5018" s="1"/>
      <c r="I5018" s="1"/>
      <c r="J5018" s="1"/>
      <c r="L5018" s="1"/>
      <c r="M5018" s="1"/>
      <c r="O5018" s="2"/>
      <c r="P5018" s="2"/>
    </row>
    <row r="5019" spans="1:16" x14ac:dyDescent="0.25">
      <c r="A5019" s="2"/>
      <c r="B5019" s="2"/>
      <c r="F5019" s="1"/>
      <c r="G5019" s="1"/>
      <c r="I5019" s="1"/>
      <c r="J5019" s="1"/>
      <c r="L5019" s="1"/>
      <c r="M5019" s="1"/>
      <c r="O5019" s="2"/>
      <c r="P5019" s="2"/>
    </row>
    <row r="5020" spans="1:16" x14ac:dyDescent="0.25">
      <c r="A5020" s="2"/>
      <c r="B5020" s="2"/>
      <c r="F5020" s="1"/>
      <c r="G5020" s="1"/>
      <c r="I5020" s="1"/>
      <c r="J5020" s="1"/>
      <c r="L5020" s="1"/>
      <c r="M5020" s="1"/>
      <c r="O5020" s="2"/>
      <c r="P5020" s="2"/>
    </row>
    <row r="5021" spans="1:16" x14ac:dyDescent="0.25">
      <c r="A5021" s="2"/>
      <c r="B5021" s="2"/>
      <c r="F5021" s="1"/>
      <c r="G5021" s="1"/>
      <c r="I5021" s="1"/>
      <c r="J5021" s="1"/>
      <c r="L5021" s="1"/>
      <c r="M5021" s="1"/>
      <c r="O5021" s="2"/>
      <c r="P5021" s="2"/>
    </row>
    <row r="5022" spans="1:16" x14ac:dyDescent="0.25">
      <c r="A5022" s="2"/>
      <c r="B5022" s="2"/>
      <c r="F5022" s="1"/>
      <c r="G5022" s="1"/>
      <c r="I5022" s="1"/>
      <c r="J5022" s="1"/>
      <c r="L5022" s="1"/>
      <c r="M5022" s="1"/>
      <c r="O5022" s="2"/>
      <c r="P5022" s="2"/>
    </row>
    <row r="5023" spans="1:16" x14ac:dyDescent="0.25">
      <c r="A5023" s="2"/>
      <c r="B5023" s="2"/>
      <c r="F5023" s="1"/>
      <c r="G5023" s="1"/>
      <c r="I5023" s="1"/>
      <c r="J5023" s="1"/>
      <c r="L5023" s="1"/>
      <c r="M5023" s="1"/>
      <c r="O5023" s="2"/>
      <c r="P5023" s="2"/>
    </row>
    <row r="5024" spans="1:16" x14ac:dyDescent="0.25">
      <c r="A5024" s="2"/>
      <c r="B5024" s="2"/>
      <c r="F5024" s="1"/>
      <c r="G5024" s="1"/>
      <c r="I5024" s="1"/>
      <c r="J5024" s="1"/>
      <c r="L5024" s="1"/>
      <c r="M5024" s="1"/>
      <c r="O5024" s="2"/>
      <c r="P5024" s="2"/>
    </row>
    <row r="5025" spans="1:16" x14ac:dyDescent="0.25">
      <c r="A5025" s="2"/>
      <c r="B5025" s="2"/>
      <c r="F5025" s="1"/>
      <c r="G5025" s="1"/>
      <c r="I5025" s="1"/>
      <c r="J5025" s="1"/>
      <c r="L5025" s="1"/>
      <c r="M5025" s="1"/>
      <c r="O5025" s="2"/>
      <c r="P5025" s="2"/>
    </row>
    <row r="5026" spans="1:16" x14ac:dyDescent="0.25">
      <c r="A5026" s="2"/>
      <c r="B5026" s="2"/>
      <c r="F5026" s="1"/>
      <c r="G5026" s="1"/>
      <c r="I5026" s="1"/>
      <c r="J5026" s="1"/>
      <c r="L5026" s="1"/>
      <c r="M5026" s="1"/>
      <c r="O5026" s="2"/>
      <c r="P5026" s="2"/>
    </row>
    <row r="5027" spans="1:16" x14ac:dyDescent="0.25">
      <c r="A5027" s="2"/>
      <c r="B5027" s="2"/>
      <c r="F5027" s="1"/>
      <c r="G5027" s="1"/>
      <c r="I5027" s="1"/>
      <c r="J5027" s="1"/>
      <c r="L5027" s="1"/>
      <c r="M5027" s="1"/>
      <c r="O5027" s="2"/>
      <c r="P5027" s="2"/>
    </row>
    <row r="5028" spans="1:16" x14ac:dyDescent="0.25">
      <c r="A5028" s="2"/>
      <c r="B5028" s="2"/>
      <c r="F5028" s="1"/>
      <c r="G5028" s="1"/>
      <c r="I5028" s="1"/>
      <c r="J5028" s="1"/>
      <c r="L5028" s="1"/>
      <c r="M5028" s="1"/>
      <c r="O5028" s="2"/>
      <c r="P5028" s="2"/>
    </row>
    <row r="5029" spans="1:16" x14ac:dyDescent="0.25">
      <c r="A5029" s="2"/>
      <c r="B5029" s="2"/>
      <c r="F5029" s="1"/>
      <c r="G5029" s="1"/>
      <c r="I5029" s="1"/>
      <c r="J5029" s="1"/>
      <c r="L5029" s="1"/>
      <c r="M5029" s="1"/>
      <c r="O5029" s="2"/>
      <c r="P5029" s="2"/>
    </row>
    <row r="5030" spans="1:16" x14ac:dyDescent="0.25">
      <c r="A5030" s="2"/>
      <c r="B5030" s="2"/>
      <c r="F5030" s="1"/>
      <c r="G5030" s="1"/>
      <c r="I5030" s="1"/>
      <c r="J5030" s="1"/>
      <c r="L5030" s="1"/>
      <c r="M5030" s="1"/>
      <c r="O5030" s="2"/>
      <c r="P5030" s="2"/>
    </row>
    <row r="5031" spans="1:16" x14ac:dyDescent="0.25">
      <c r="A5031" s="2"/>
      <c r="B5031" s="2"/>
      <c r="F5031" s="1"/>
      <c r="G5031" s="1"/>
      <c r="I5031" s="1"/>
      <c r="J5031" s="1"/>
      <c r="L5031" s="1"/>
      <c r="M5031" s="1"/>
      <c r="O5031" s="2"/>
      <c r="P5031" s="2"/>
    </row>
    <row r="5032" spans="1:16" x14ac:dyDescent="0.25">
      <c r="A5032" s="2"/>
      <c r="B5032" s="2"/>
      <c r="F5032" s="1"/>
      <c r="G5032" s="1"/>
      <c r="I5032" s="1"/>
      <c r="J5032" s="1"/>
      <c r="L5032" s="1"/>
      <c r="M5032" s="1"/>
      <c r="O5032" s="2"/>
      <c r="P5032" s="2"/>
    </row>
    <row r="5033" spans="1:16" x14ac:dyDescent="0.25">
      <c r="A5033" s="2"/>
      <c r="B5033" s="2"/>
      <c r="F5033" s="1"/>
      <c r="G5033" s="1"/>
      <c r="I5033" s="1"/>
      <c r="J5033" s="1"/>
      <c r="L5033" s="1"/>
      <c r="M5033" s="1"/>
      <c r="O5033" s="2"/>
      <c r="P5033" s="2"/>
    </row>
    <row r="5034" spans="1:16" x14ac:dyDescent="0.25">
      <c r="A5034" s="2"/>
      <c r="B5034" s="2"/>
      <c r="F5034" s="1"/>
      <c r="G5034" s="1"/>
      <c r="I5034" s="1"/>
      <c r="J5034" s="1"/>
      <c r="L5034" s="1"/>
      <c r="M5034" s="1"/>
      <c r="O5034" s="2"/>
      <c r="P5034" s="2"/>
    </row>
    <row r="5035" spans="1:16" x14ac:dyDescent="0.25">
      <c r="A5035" s="2"/>
      <c r="B5035" s="2"/>
      <c r="F5035" s="1"/>
      <c r="G5035" s="1"/>
      <c r="I5035" s="1"/>
      <c r="J5035" s="1"/>
      <c r="L5035" s="1"/>
      <c r="M5035" s="1"/>
      <c r="O5035" s="2"/>
      <c r="P5035" s="2"/>
    </row>
    <row r="5036" spans="1:16" x14ac:dyDescent="0.25">
      <c r="A5036" s="2"/>
      <c r="B5036" s="2"/>
      <c r="F5036" s="1"/>
      <c r="G5036" s="1"/>
      <c r="I5036" s="1"/>
      <c r="J5036" s="1"/>
      <c r="L5036" s="1"/>
      <c r="M5036" s="1"/>
      <c r="O5036" s="2"/>
      <c r="P5036" s="2"/>
    </row>
    <row r="5037" spans="1:16" x14ac:dyDescent="0.25">
      <c r="A5037" s="2"/>
      <c r="B5037" s="2"/>
      <c r="F5037" s="1"/>
      <c r="G5037" s="1"/>
      <c r="I5037" s="1"/>
      <c r="J5037" s="1"/>
      <c r="L5037" s="1"/>
      <c r="M5037" s="1"/>
      <c r="O5037" s="2"/>
      <c r="P5037" s="2"/>
    </row>
    <row r="5038" spans="1:16" x14ac:dyDescent="0.25">
      <c r="A5038" s="2"/>
      <c r="B5038" s="2"/>
      <c r="F5038" s="1"/>
      <c r="G5038" s="1"/>
      <c r="I5038" s="1"/>
      <c r="J5038" s="1"/>
      <c r="L5038" s="1"/>
      <c r="M5038" s="1"/>
      <c r="O5038" s="2"/>
      <c r="P5038" s="2"/>
    </row>
    <row r="5039" spans="1:16" x14ac:dyDescent="0.25">
      <c r="A5039" s="2"/>
      <c r="B5039" s="2"/>
      <c r="F5039" s="1"/>
      <c r="G5039" s="1"/>
      <c r="I5039" s="1"/>
      <c r="J5039" s="1"/>
      <c r="L5039" s="1"/>
      <c r="M5039" s="1"/>
      <c r="O5039" s="2"/>
      <c r="P5039" s="2"/>
    </row>
    <row r="5040" spans="1:16" x14ac:dyDescent="0.25">
      <c r="A5040" s="2"/>
      <c r="B5040" s="2"/>
      <c r="F5040" s="1"/>
      <c r="G5040" s="1"/>
      <c r="I5040" s="1"/>
      <c r="J5040" s="1"/>
      <c r="L5040" s="1"/>
      <c r="M5040" s="1"/>
      <c r="O5040" s="2"/>
      <c r="P5040" s="2"/>
    </row>
    <row r="5041" spans="1:16" x14ac:dyDescent="0.25">
      <c r="A5041" s="2"/>
      <c r="B5041" s="2"/>
      <c r="F5041" s="1"/>
      <c r="G5041" s="1"/>
      <c r="I5041" s="1"/>
      <c r="J5041" s="1"/>
      <c r="L5041" s="1"/>
      <c r="M5041" s="1"/>
      <c r="O5041" s="2"/>
      <c r="P5041" s="2"/>
    </row>
    <row r="5042" spans="1:16" x14ac:dyDescent="0.25">
      <c r="A5042" s="2"/>
      <c r="B5042" s="2"/>
      <c r="F5042" s="1"/>
      <c r="G5042" s="1"/>
      <c r="I5042" s="1"/>
      <c r="J5042" s="1"/>
      <c r="L5042" s="1"/>
      <c r="M5042" s="1"/>
      <c r="O5042" s="2"/>
      <c r="P5042" s="2"/>
    </row>
    <row r="5043" spans="1:16" x14ac:dyDescent="0.25">
      <c r="A5043" s="2"/>
      <c r="B5043" s="2"/>
      <c r="F5043" s="1"/>
      <c r="G5043" s="1"/>
      <c r="I5043" s="1"/>
      <c r="J5043" s="1"/>
      <c r="L5043" s="1"/>
      <c r="M5043" s="1"/>
      <c r="O5043" s="2"/>
      <c r="P5043" s="2"/>
    </row>
    <row r="5044" spans="1:16" x14ac:dyDescent="0.25">
      <c r="A5044" s="2"/>
      <c r="B5044" s="2"/>
      <c r="F5044" s="1"/>
      <c r="G5044" s="1"/>
      <c r="I5044" s="1"/>
      <c r="J5044" s="1"/>
      <c r="L5044" s="1"/>
      <c r="M5044" s="1"/>
      <c r="O5044" s="2"/>
      <c r="P5044" s="2"/>
    </row>
    <row r="5045" spans="1:16" x14ac:dyDescent="0.25">
      <c r="A5045" s="2"/>
      <c r="B5045" s="2"/>
      <c r="F5045" s="1"/>
      <c r="G5045" s="1"/>
      <c r="I5045" s="1"/>
      <c r="J5045" s="1"/>
      <c r="L5045" s="1"/>
      <c r="M5045" s="1"/>
      <c r="O5045" s="2"/>
      <c r="P5045" s="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Copule Gaussienne</vt:lpstr>
    </vt:vector>
  </TitlesOfParts>
  <Company>N.X.B.P.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Baron</dc:creator>
  <cp:lastModifiedBy>Clauss</cp:lastModifiedBy>
  <dcterms:created xsi:type="dcterms:W3CDTF">2005-11-24T11:18:50Z</dcterms:created>
  <dcterms:modified xsi:type="dcterms:W3CDTF">2020-02-22T21:22:27Z</dcterms:modified>
</cp:coreProperties>
</file>